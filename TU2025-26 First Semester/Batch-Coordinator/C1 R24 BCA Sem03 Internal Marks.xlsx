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Academic Data\AY2025-26 First Semester\R24 BCA Sem03 Batch Coordinator\"/>
    </mc:Choice>
  </mc:AlternateContent>
  <bookViews>
    <workbookView xWindow="0" yWindow="0" windowWidth="20490" windowHeight="7755" activeTab="2"/>
  </bookViews>
  <sheets>
    <sheet name="Python" sheetId="17" r:id="rId1"/>
    <sheet name="DBMS" sheetId="23" r:id="rId2"/>
    <sheet name="TA" sheetId="24" r:id="rId3"/>
    <sheet name="FN" sheetId="25" r:id="rId4"/>
    <sheet name="TAM-III" sheetId="26" r:id="rId5"/>
    <sheet name="ENG-III" sheetId="27" r:id="rId6"/>
    <sheet name="Consolidtaed" sheetId="21" r:id="rId7"/>
    <sheet name="Py Lab" sheetId="22" r:id="rId8"/>
    <sheet name="DBMS Lab" sheetId="28" r:id="rId9"/>
    <sheet name="Git" sheetId="29" r:id="rId10"/>
    <sheet name="TIL" sheetId="32" r:id="rId11"/>
    <sheet name="Yoga" sheetId="31" r:id="rId12"/>
    <sheet name="GC" sheetId="30" r:id="rId1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32" l="1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61" i="32"/>
  <c r="I60" i="32"/>
  <c r="I59" i="32"/>
  <c r="I58" i="32"/>
  <c r="I57" i="32"/>
  <c r="I56" i="32"/>
  <c r="I55" i="32"/>
  <c r="I54" i="32"/>
  <c r="I53" i="32"/>
  <c r="I52" i="32"/>
  <c r="I51" i="32"/>
  <c r="H61" i="31"/>
  <c r="H60" i="31"/>
  <c r="H59" i="31"/>
  <c r="H58" i="31"/>
  <c r="H57" i="31"/>
  <c r="H56" i="31"/>
  <c r="H55" i="31"/>
  <c r="H54" i="31"/>
  <c r="H53" i="31"/>
  <c r="H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6" i="31"/>
  <c r="H25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61" i="30"/>
  <c r="H60" i="30"/>
  <c r="H59" i="30"/>
  <c r="H58" i="30"/>
  <c r="H57" i="30"/>
  <c r="H56" i="30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61" i="29" l="1"/>
  <c r="H60" i="29"/>
  <c r="H59" i="29"/>
  <c r="H58" i="29"/>
  <c r="H57" i="29"/>
  <c r="H56" i="29"/>
  <c r="H55" i="29"/>
  <c r="H54" i="29"/>
  <c r="H53" i="29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61" i="28"/>
  <c r="H60" i="28"/>
  <c r="H59" i="28"/>
  <c r="H58" i="28"/>
  <c r="H57" i="28"/>
  <c r="H56" i="28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M60" i="24"/>
  <c r="G19" i="27" l="1"/>
  <c r="W62" i="27" l="1"/>
  <c r="X62" i="27" s="1"/>
  <c r="Y62" i="27" s="1"/>
  <c r="R62" i="27"/>
  <c r="M62" i="27"/>
  <c r="N62" i="27" s="1"/>
  <c r="O62" i="27" s="1"/>
  <c r="H62" i="27"/>
  <c r="I62" i="27" s="1"/>
  <c r="G62" i="27"/>
  <c r="W61" i="27"/>
  <c r="X61" i="27" s="1"/>
  <c r="Y61" i="27" s="1"/>
  <c r="R61" i="27"/>
  <c r="M61" i="27"/>
  <c r="N61" i="27" s="1"/>
  <c r="O61" i="27" s="1"/>
  <c r="G61" i="27"/>
  <c r="H61" i="27" s="1"/>
  <c r="I61" i="27" s="1"/>
  <c r="W60" i="27"/>
  <c r="X60" i="27" s="1"/>
  <c r="Y60" i="27" s="1"/>
  <c r="R60" i="27"/>
  <c r="M60" i="27"/>
  <c r="N60" i="27" s="1"/>
  <c r="O60" i="27" s="1"/>
  <c r="G60" i="27"/>
  <c r="H60" i="27" s="1"/>
  <c r="I60" i="27" s="1"/>
  <c r="W59" i="27"/>
  <c r="X59" i="27" s="1"/>
  <c r="Y59" i="27" s="1"/>
  <c r="R59" i="27"/>
  <c r="M59" i="27"/>
  <c r="N59" i="27" s="1"/>
  <c r="O59" i="27" s="1"/>
  <c r="G59" i="27"/>
  <c r="H59" i="27" s="1"/>
  <c r="I59" i="27" s="1"/>
  <c r="W58" i="27"/>
  <c r="X58" i="27" s="1"/>
  <c r="Y58" i="27" s="1"/>
  <c r="R58" i="27"/>
  <c r="M58" i="27"/>
  <c r="N58" i="27" s="1"/>
  <c r="O58" i="27" s="1"/>
  <c r="G58" i="27"/>
  <c r="H58" i="27" s="1"/>
  <c r="I58" i="27" s="1"/>
  <c r="W57" i="27"/>
  <c r="X57" i="27" s="1"/>
  <c r="Y57" i="27" s="1"/>
  <c r="R57" i="27"/>
  <c r="M57" i="27"/>
  <c r="N57" i="27" s="1"/>
  <c r="O57" i="27" s="1"/>
  <c r="G57" i="27"/>
  <c r="H57" i="27" s="1"/>
  <c r="I57" i="27" s="1"/>
  <c r="W56" i="27"/>
  <c r="X56" i="27" s="1"/>
  <c r="Y56" i="27" s="1"/>
  <c r="R56" i="27"/>
  <c r="M56" i="27"/>
  <c r="N56" i="27" s="1"/>
  <c r="O56" i="27" s="1"/>
  <c r="G56" i="27"/>
  <c r="H56" i="27" s="1"/>
  <c r="I56" i="27" s="1"/>
  <c r="W55" i="27"/>
  <c r="X55" i="27" s="1"/>
  <c r="Y55" i="27" s="1"/>
  <c r="R55" i="27"/>
  <c r="M55" i="27"/>
  <c r="N55" i="27" s="1"/>
  <c r="O55" i="27" s="1"/>
  <c r="G55" i="27"/>
  <c r="H55" i="27" s="1"/>
  <c r="I55" i="27" s="1"/>
  <c r="W54" i="27"/>
  <c r="X54" i="27" s="1"/>
  <c r="Y54" i="27" s="1"/>
  <c r="R54" i="27"/>
  <c r="M54" i="27"/>
  <c r="N54" i="27" s="1"/>
  <c r="O54" i="27" s="1"/>
  <c r="G54" i="27"/>
  <c r="H54" i="27" s="1"/>
  <c r="I54" i="27" s="1"/>
  <c r="W53" i="27"/>
  <c r="X53" i="27" s="1"/>
  <c r="Y53" i="27" s="1"/>
  <c r="R53" i="27"/>
  <c r="M53" i="27"/>
  <c r="N53" i="27" s="1"/>
  <c r="O53" i="27" s="1"/>
  <c r="G53" i="27"/>
  <c r="H53" i="27" s="1"/>
  <c r="I53" i="27" s="1"/>
  <c r="W52" i="27"/>
  <c r="X52" i="27" s="1"/>
  <c r="Y52" i="27" s="1"/>
  <c r="R52" i="27"/>
  <c r="M52" i="27"/>
  <c r="N52" i="27" s="1"/>
  <c r="O52" i="27" s="1"/>
  <c r="G52" i="27"/>
  <c r="H52" i="27" s="1"/>
  <c r="I52" i="27" s="1"/>
  <c r="W51" i="27"/>
  <c r="X51" i="27" s="1"/>
  <c r="Y51" i="27" s="1"/>
  <c r="R51" i="27"/>
  <c r="M51" i="27"/>
  <c r="N51" i="27" s="1"/>
  <c r="O51" i="27" s="1"/>
  <c r="G51" i="27"/>
  <c r="H51" i="27" s="1"/>
  <c r="I51" i="27" s="1"/>
  <c r="W50" i="27"/>
  <c r="X50" i="27" s="1"/>
  <c r="Y50" i="27" s="1"/>
  <c r="R50" i="27"/>
  <c r="M50" i="27"/>
  <c r="N50" i="27" s="1"/>
  <c r="O50" i="27" s="1"/>
  <c r="G50" i="27"/>
  <c r="H50" i="27" s="1"/>
  <c r="I50" i="27" s="1"/>
  <c r="W49" i="27"/>
  <c r="X49" i="27" s="1"/>
  <c r="Y49" i="27" s="1"/>
  <c r="R49" i="27"/>
  <c r="M49" i="27"/>
  <c r="N49" i="27" s="1"/>
  <c r="O49" i="27" s="1"/>
  <c r="G49" i="27"/>
  <c r="H49" i="27" s="1"/>
  <c r="I49" i="27" s="1"/>
  <c r="W48" i="27"/>
  <c r="X48" i="27" s="1"/>
  <c r="Y48" i="27" s="1"/>
  <c r="R48" i="27"/>
  <c r="M48" i="27"/>
  <c r="N48" i="27" s="1"/>
  <c r="O48" i="27" s="1"/>
  <c r="G48" i="27"/>
  <c r="H48" i="27" s="1"/>
  <c r="I48" i="27" s="1"/>
  <c r="W47" i="27"/>
  <c r="X47" i="27" s="1"/>
  <c r="Y47" i="27" s="1"/>
  <c r="R47" i="27"/>
  <c r="M47" i="27"/>
  <c r="N47" i="27" s="1"/>
  <c r="O47" i="27" s="1"/>
  <c r="G47" i="27"/>
  <c r="H47" i="27" s="1"/>
  <c r="I47" i="27" s="1"/>
  <c r="W46" i="27"/>
  <c r="X46" i="27" s="1"/>
  <c r="Y46" i="27" s="1"/>
  <c r="R46" i="27"/>
  <c r="M46" i="27"/>
  <c r="N46" i="27" s="1"/>
  <c r="O46" i="27" s="1"/>
  <c r="G46" i="27"/>
  <c r="H46" i="27" s="1"/>
  <c r="I46" i="27" s="1"/>
  <c r="W45" i="27"/>
  <c r="X45" i="27" s="1"/>
  <c r="Y45" i="27" s="1"/>
  <c r="R45" i="27"/>
  <c r="M45" i="27"/>
  <c r="N45" i="27" s="1"/>
  <c r="O45" i="27" s="1"/>
  <c r="G45" i="27"/>
  <c r="H45" i="27" s="1"/>
  <c r="I45" i="27" s="1"/>
  <c r="W44" i="27"/>
  <c r="X44" i="27" s="1"/>
  <c r="Y44" i="27" s="1"/>
  <c r="R44" i="27"/>
  <c r="M44" i="27"/>
  <c r="N44" i="27" s="1"/>
  <c r="O44" i="27" s="1"/>
  <c r="G44" i="27"/>
  <c r="H44" i="27" s="1"/>
  <c r="I44" i="27" s="1"/>
  <c r="W43" i="27"/>
  <c r="X43" i="27" s="1"/>
  <c r="Y43" i="27" s="1"/>
  <c r="R43" i="27"/>
  <c r="M43" i="27"/>
  <c r="N43" i="27" s="1"/>
  <c r="O43" i="27" s="1"/>
  <c r="G43" i="27"/>
  <c r="H43" i="27" s="1"/>
  <c r="I43" i="27" s="1"/>
  <c r="W42" i="27"/>
  <c r="X42" i="27" s="1"/>
  <c r="Y42" i="27" s="1"/>
  <c r="R42" i="27"/>
  <c r="M42" i="27"/>
  <c r="N42" i="27" s="1"/>
  <c r="O42" i="27" s="1"/>
  <c r="G42" i="27"/>
  <c r="H42" i="27" s="1"/>
  <c r="I42" i="27" s="1"/>
  <c r="W41" i="27"/>
  <c r="X41" i="27" s="1"/>
  <c r="Y41" i="27" s="1"/>
  <c r="R41" i="27"/>
  <c r="M41" i="27"/>
  <c r="N41" i="27" s="1"/>
  <c r="O41" i="27" s="1"/>
  <c r="G41" i="27"/>
  <c r="H41" i="27" s="1"/>
  <c r="I41" i="27" s="1"/>
  <c r="W40" i="27"/>
  <c r="X40" i="27" s="1"/>
  <c r="Y40" i="27" s="1"/>
  <c r="R40" i="27"/>
  <c r="M40" i="27"/>
  <c r="N40" i="27" s="1"/>
  <c r="O40" i="27" s="1"/>
  <c r="H40" i="27"/>
  <c r="I40" i="27" s="1"/>
  <c r="G40" i="27"/>
  <c r="W39" i="27"/>
  <c r="X39" i="27" s="1"/>
  <c r="Y39" i="27" s="1"/>
  <c r="R39" i="27"/>
  <c r="M39" i="27"/>
  <c r="N39" i="27" s="1"/>
  <c r="O39" i="27" s="1"/>
  <c r="G39" i="27"/>
  <c r="H39" i="27" s="1"/>
  <c r="I39" i="27" s="1"/>
  <c r="W38" i="27"/>
  <c r="X38" i="27" s="1"/>
  <c r="Y38" i="27" s="1"/>
  <c r="R38" i="27"/>
  <c r="M38" i="27"/>
  <c r="N38" i="27" s="1"/>
  <c r="O38" i="27" s="1"/>
  <c r="G38" i="27"/>
  <c r="H38" i="27" s="1"/>
  <c r="I38" i="27" s="1"/>
  <c r="W37" i="27"/>
  <c r="X37" i="27" s="1"/>
  <c r="Y37" i="27" s="1"/>
  <c r="R37" i="27"/>
  <c r="M37" i="27"/>
  <c r="N37" i="27" s="1"/>
  <c r="O37" i="27" s="1"/>
  <c r="H37" i="27"/>
  <c r="I37" i="27" s="1"/>
  <c r="G37" i="27"/>
  <c r="W36" i="27"/>
  <c r="X36" i="27" s="1"/>
  <c r="Y36" i="27" s="1"/>
  <c r="R36" i="27"/>
  <c r="M36" i="27"/>
  <c r="N36" i="27" s="1"/>
  <c r="O36" i="27" s="1"/>
  <c r="G36" i="27"/>
  <c r="H36" i="27" s="1"/>
  <c r="I36" i="27" s="1"/>
  <c r="W35" i="27"/>
  <c r="X35" i="27" s="1"/>
  <c r="Y35" i="27" s="1"/>
  <c r="R35" i="27"/>
  <c r="M35" i="27"/>
  <c r="N35" i="27" s="1"/>
  <c r="O35" i="27" s="1"/>
  <c r="G35" i="27"/>
  <c r="H35" i="27" s="1"/>
  <c r="I35" i="27" s="1"/>
  <c r="W34" i="27"/>
  <c r="X34" i="27" s="1"/>
  <c r="Y34" i="27" s="1"/>
  <c r="R34" i="27"/>
  <c r="M34" i="27"/>
  <c r="N34" i="27" s="1"/>
  <c r="O34" i="27" s="1"/>
  <c r="G34" i="27"/>
  <c r="H34" i="27" s="1"/>
  <c r="I34" i="27" s="1"/>
  <c r="W33" i="27"/>
  <c r="X33" i="27" s="1"/>
  <c r="Y33" i="27" s="1"/>
  <c r="R33" i="27"/>
  <c r="M33" i="27"/>
  <c r="N33" i="27" s="1"/>
  <c r="O33" i="27" s="1"/>
  <c r="G33" i="27"/>
  <c r="H33" i="27" s="1"/>
  <c r="I33" i="27" s="1"/>
  <c r="W32" i="27"/>
  <c r="X32" i="27" s="1"/>
  <c r="Y32" i="27" s="1"/>
  <c r="R32" i="27"/>
  <c r="M32" i="27"/>
  <c r="N32" i="27" s="1"/>
  <c r="O32" i="27" s="1"/>
  <c r="G32" i="27"/>
  <c r="H32" i="27" s="1"/>
  <c r="I32" i="27" s="1"/>
  <c r="W31" i="27"/>
  <c r="X31" i="27" s="1"/>
  <c r="Y31" i="27" s="1"/>
  <c r="R31" i="27"/>
  <c r="M31" i="27"/>
  <c r="N31" i="27" s="1"/>
  <c r="O31" i="27" s="1"/>
  <c r="G31" i="27"/>
  <c r="H31" i="27" s="1"/>
  <c r="I31" i="27" s="1"/>
  <c r="W30" i="27"/>
  <c r="X30" i="27" s="1"/>
  <c r="Y30" i="27" s="1"/>
  <c r="R30" i="27"/>
  <c r="M30" i="27"/>
  <c r="N30" i="27" s="1"/>
  <c r="O30" i="27" s="1"/>
  <c r="G30" i="27"/>
  <c r="H30" i="27" s="1"/>
  <c r="I30" i="27" s="1"/>
  <c r="W29" i="27"/>
  <c r="X29" i="27" s="1"/>
  <c r="Y29" i="27" s="1"/>
  <c r="R29" i="27"/>
  <c r="M29" i="27"/>
  <c r="N29" i="27" s="1"/>
  <c r="O29" i="27" s="1"/>
  <c r="G29" i="27"/>
  <c r="H29" i="27" s="1"/>
  <c r="I29" i="27" s="1"/>
  <c r="W28" i="27"/>
  <c r="X28" i="27" s="1"/>
  <c r="Y28" i="27" s="1"/>
  <c r="R28" i="27"/>
  <c r="M28" i="27"/>
  <c r="N28" i="27" s="1"/>
  <c r="O28" i="27" s="1"/>
  <c r="G28" i="27"/>
  <c r="H28" i="27" s="1"/>
  <c r="I28" i="27" s="1"/>
  <c r="W27" i="27"/>
  <c r="X27" i="27" s="1"/>
  <c r="Y27" i="27" s="1"/>
  <c r="R27" i="27"/>
  <c r="M27" i="27"/>
  <c r="N27" i="27" s="1"/>
  <c r="O27" i="27" s="1"/>
  <c r="G27" i="27"/>
  <c r="H27" i="27" s="1"/>
  <c r="I27" i="27" s="1"/>
  <c r="W26" i="27"/>
  <c r="X26" i="27" s="1"/>
  <c r="Y26" i="27" s="1"/>
  <c r="R26" i="27"/>
  <c r="M26" i="27"/>
  <c r="N26" i="27" s="1"/>
  <c r="O26" i="27" s="1"/>
  <c r="G26" i="27"/>
  <c r="H26" i="27" s="1"/>
  <c r="I26" i="27" s="1"/>
  <c r="W25" i="27"/>
  <c r="X25" i="27" s="1"/>
  <c r="Y25" i="27" s="1"/>
  <c r="R25" i="27"/>
  <c r="M25" i="27"/>
  <c r="N25" i="27" s="1"/>
  <c r="O25" i="27" s="1"/>
  <c r="G25" i="27"/>
  <c r="H25" i="27" s="1"/>
  <c r="I25" i="27" s="1"/>
  <c r="W24" i="27"/>
  <c r="X24" i="27" s="1"/>
  <c r="Y24" i="27" s="1"/>
  <c r="R24" i="27"/>
  <c r="M24" i="27"/>
  <c r="N24" i="27" s="1"/>
  <c r="O24" i="27" s="1"/>
  <c r="G24" i="27"/>
  <c r="H24" i="27" s="1"/>
  <c r="I24" i="27" s="1"/>
  <c r="W23" i="27"/>
  <c r="X23" i="27" s="1"/>
  <c r="Y23" i="27" s="1"/>
  <c r="R23" i="27"/>
  <c r="M23" i="27"/>
  <c r="N23" i="27" s="1"/>
  <c r="O23" i="27" s="1"/>
  <c r="H23" i="27"/>
  <c r="I23" i="27" s="1"/>
  <c r="G23" i="27"/>
  <c r="W22" i="27"/>
  <c r="X22" i="27" s="1"/>
  <c r="Y22" i="27" s="1"/>
  <c r="R22" i="27"/>
  <c r="M22" i="27"/>
  <c r="N22" i="27" s="1"/>
  <c r="O22" i="27" s="1"/>
  <c r="G22" i="27"/>
  <c r="H22" i="27" s="1"/>
  <c r="I22" i="27" s="1"/>
  <c r="W21" i="27"/>
  <c r="X21" i="27" s="1"/>
  <c r="Y21" i="27" s="1"/>
  <c r="R21" i="27"/>
  <c r="M21" i="27"/>
  <c r="N21" i="27" s="1"/>
  <c r="O21" i="27" s="1"/>
  <c r="G21" i="27"/>
  <c r="H21" i="27" s="1"/>
  <c r="I21" i="27" s="1"/>
  <c r="W20" i="27"/>
  <c r="X20" i="27" s="1"/>
  <c r="Y20" i="27" s="1"/>
  <c r="R20" i="27"/>
  <c r="M20" i="27"/>
  <c r="N20" i="27" s="1"/>
  <c r="O20" i="27" s="1"/>
  <c r="G20" i="27"/>
  <c r="H20" i="27" s="1"/>
  <c r="I20" i="27" s="1"/>
  <c r="W19" i="27"/>
  <c r="X19" i="27" s="1"/>
  <c r="Y19" i="27" s="1"/>
  <c r="R19" i="27"/>
  <c r="M19" i="27"/>
  <c r="N19" i="27" s="1"/>
  <c r="O19" i="27" s="1"/>
  <c r="H19" i="27"/>
  <c r="I19" i="27" s="1"/>
  <c r="W18" i="27"/>
  <c r="X18" i="27" s="1"/>
  <c r="Y18" i="27" s="1"/>
  <c r="R18" i="27"/>
  <c r="M18" i="27"/>
  <c r="N18" i="27" s="1"/>
  <c r="O18" i="27" s="1"/>
  <c r="G18" i="27"/>
  <c r="H18" i="27" s="1"/>
  <c r="I18" i="27" s="1"/>
  <c r="W17" i="27"/>
  <c r="X17" i="27" s="1"/>
  <c r="Y17" i="27" s="1"/>
  <c r="R17" i="27"/>
  <c r="M17" i="27"/>
  <c r="N17" i="27" s="1"/>
  <c r="O17" i="27" s="1"/>
  <c r="G17" i="27"/>
  <c r="H17" i="27" s="1"/>
  <c r="I17" i="27" s="1"/>
  <c r="W16" i="27"/>
  <c r="X16" i="27" s="1"/>
  <c r="Y16" i="27" s="1"/>
  <c r="R16" i="27"/>
  <c r="M16" i="27"/>
  <c r="N16" i="27" s="1"/>
  <c r="O16" i="27" s="1"/>
  <c r="H16" i="27"/>
  <c r="I16" i="27" s="1"/>
  <c r="G16" i="27"/>
  <c r="W15" i="27"/>
  <c r="X15" i="27" s="1"/>
  <c r="Y15" i="27" s="1"/>
  <c r="R15" i="27"/>
  <c r="M15" i="27"/>
  <c r="N15" i="27" s="1"/>
  <c r="O15" i="27" s="1"/>
  <c r="G15" i="27"/>
  <c r="H15" i="27" s="1"/>
  <c r="I15" i="27" s="1"/>
  <c r="W14" i="27"/>
  <c r="X14" i="27" s="1"/>
  <c r="Y14" i="27" s="1"/>
  <c r="R14" i="27"/>
  <c r="M14" i="27"/>
  <c r="N14" i="27" s="1"/>
  <c r="O14" i="27" s="1"/>
  <c r="G14" i="27"/>
  <c r="H14" i="27" s="1"/>
  <c r="I14" i="27" s="1"/>
  <c r="W13" i="27"/>
  <c r="X13" i="27" s="1"/>
  <c r="Y13" i="27" s="1"/>
  <c r="R13" i="27"/>
  <c r="M13" i="27"/>
  <c r="N13" i="27" s="1"/>
  <c r="O13" i="27" s="1"/>
  <c r="G13" i="27"/>
  <c r="H13" i="27" s="1"/>
  <c r="I13" i="27" s="1"/>
  <c r="W62" i="26"/>
  <c r="X62" i="26" s="1"/>
  <c r="Y62" i="26" s="1"/>
  <c r="R62" i="26"/>
  <c r="M62" i="26"/>
  <c r="N62" i="26" s="1"/>
  <c r="O62" i="26" s="1"/>
  <c r="G62" i="26"/>
  <c r="H62" i="26" s="1"/>
  <c r="I62" i="26" s="1"/>
  <c r="W61" i="26"/>
  <c r="X61" i="26" s="1"/>
  <c r="Y61" i="26" s="1"/>
  <c r="R61" i="26"/>
  <c r="M61" i="26"/>
  <c r="N61" i="26" s="1"/>
  <c r="O61" i="26" s="1"/>
  <c r="G61" i="26"/>
  <c r="H61" i="26" s="1"/>
  <c r="I61" i="26" s="1"/>
  <c r="W60" i="26"/>
  <c r="X60" i="26" s="1"/>
  <c r="Y60" i="26" s="1"/>
  <c r="R60" i="26"/>
  <c r="M60" i="26"/>
  <c r="N60" i="26" s="1"/>
  <c r="O60" i="26" s="1"/>
  <c r="G60" i="26"/>
  <c r="H60" i="26" s="1"/>
  <c r="I60" i="26" s="1"/>
  <c r="W59" i="26"/>
  <c r="X59" i="26" s="1"/>
  <c r="Y59" i="26" s="1"/>
  <c r="R59" i="26"/>
  <c r="M59" i="26"/>
  <c r="N59" i="26" s="1"/>
  <c r="O59" i="26" s="1"/>
  <c r="G59" i="26"/>
  <c r="H59" i="26" s="1"/>
  <c r="I59" i="26" s="1"/>
  <c r="W58" i="26"/>
  <c r="X58" i="26" s="1"/>
  <c r="Y58" i="26" s="1"/>
  <c r="R58" i="26"/>
  <c r="M58" i="26"/>
  <c r="N58" i="26" s="1"/>
  <c r="O58" i="26" s="1"/>
  <c r="G58" i="26"/>
  <c r="H58" i="26" s="1"/>
  <c r="I58" i="26" s="1"/>
  <c r="W57" i="26"/>
  <c r="X57" i="26" s="1"/>
  <c r="Y57" i="26" s="1"/>
  <c r="R57" i="26"/>
  <c r="M57" i="26"/>
  <c r="N57" i="26" s="1"/>
  <c r="O57" i="26" s="1"/>
  <c r="G57" i="26"/>
  <c r="H57" i="26" s="1"/>
  <c r="I57" i="26" s="1"/>
  <c r="W56" i="26"/>
  <c r="X56" i="26" s="1"/>
  <c r="Y56" i="26" s="1"/>
  <c r="R56" i="26"/>
  <c r="M56" i="26"/>
  <c r="N56" i="26" s="1"/>
  <c r="O56" i="26" s="1"/>
  <c r="G56" i="26"/>
  <c r="H56" i="26" s="1"/>
  <c r="I56" i="26" s="1"/>
  <c r="W55" i="26"/>
  <c r="X55" i="26" s="1"/>
  <c r="Y55" i="26" s="1"/>
  <c r="R55" i="26"/>
  <c r="M55" i="26"/>
  <c r="N55" i="26" s="1"/>
  <c r="O55" i="26" s="1"/>
  <c r="G55" i="26"/>
  <c r="H55" i="26" s="1"/>
  <c r="I55" i="26" s="1"/>
  <c r="W54" i="26"/>
  <c r="X54" i="26" s="1"/>
  <c r="Y54" i="26" s="1"/>
  <c r="R54" i="26"/>
  <c r="M54" i="26"/>
  <c r="N54" i="26" s="1"/>
  <c r="O54" i="26" s="1"/>
  <c r="G54" i="26"/>
  <c r="H54" i="26" s="1"/>
  <c r="I54" i="26" s="1"/>
  <c r="W53" i="26"/>
  <c r="X53" i="26" s="1"/>
  <c r="Y53" i="26" s="1"/>
  <c r="R53" i="26"/>
  <c r="M53" i="26"/>
  <c r="N53" i="26" s="1"/>
  <c r="O53" i="26" s="1"/>
  <c r="G53" i="26"/>
  <c r="H53" i="26" s="1"/>
  <c r="I53" i="26" s="1"/>
  <c r="W52" i="26"/>
  <c r="X52" i="26" s="1"/>
  <c r="Y52" i="26" s="1"/>
  <c r="R52" i="26"/>
  <c r="M52" i="26"/>
  <c r="N52" i="26" s="1"/>
  <c r="O52" i="26" s="1"/>
  <c r="G52" i="26"/>
  <c r="H52" i="26" s="1"/>
  <c r="I52" i="26" s="1"/>
  <c r="W51" i="26"/>
  <c r="X51" i="26" s="1"/>
  <c r="Y51" i="26" s="1"/>
  <c r="R51" i="26"/>
  <c r="M51" i="26"/>
  <c r="N51" i="26" s="1"/>
  <c r="O51" i="26" s="1"/>
  <c r="G51" i="26"/>
  <c r="H51" i="26" s="1"/>
  <c r="I51" i="26" s="1"/>
  <c r="W50" i="26"/>
  <c r="X50" i="26" s="1"/>
  <c r="Y50" i="26" s="1"/>
  <c r="R50" i="26"/>
  <c r="M50" i="26"/>
  <c r="N50" i="26" s="1"/>
  <c r="O50" i="26" s="1"/>
  <c r="G50" i="26"/>
  <c r="H50" i="26" s="1"/>
  <c r="I50" i="26" s="1"/>
  <c r="W49" i="26"/>
  <c r="X49" i="26" s="1"/>
  <c r="Y49" i="26" s="1"/>
  <c r="R49" i="26"/>
  <c r="M49" i="26"/>
  <c r="N49" i="26" s="1"/>
  <c r="O49" i="26" s="1"/>
  <c r="G49" i="26"/>
  <c r="H49" i="26" s="1"/>
  <c r="I49" i="26" s="1"/>
  <c r="W48" i="26"/>
  <c r="X48" i="26" s="1"/>
  <c r="Y48" i="26" s="1"/>
  <c r="R48" i="26"/>
  <c r="M48" i="26"/>
  <c r="N48" i="26" s="1"/>
  <c r="O48" i="26" s="1"/>
  <c r="G48" i="26"/>
  <c r="H48" i="26" s="1"/>
  <c r="I48" i="26" s="1"/>
  <c r="W47" i="26"/>
  <c r="X47" i="26" s="1"/>
  <c r="Y47" i="26" s="1"/>
  <c r="R47" i="26"/>
  <c r="M47" i="26"/>
  <c r="N47" i="26" s="1"/>
  <c r="O47" i="26" s="1"/>
  <c r="G47" i="26"/>
  <c r="H47" i="26" s="1"/>
  <c r="I47" i="26" s="1"/>
  <c r="W46" i="26"/>
  <c r="X46" i="26" s="1"/>
  <c r="Y46" i="26" s="1"/>
  <c r="R46" i="26"/>
  <c r="M46" i="26"/>
  <c r="N46" i="26" s="1"/>
  <c r="O46" i="26" s="1"/>
  <c r="G46" i="26"/>
  <c r="H46" i="26" s="1"/>
  <c r="I46" i="26" s="1"/>
  <c r="W45" i="26"/>
  <c r="X45" i="26" s="1"/>
  <c r="Y45" i="26" s="1"/>
  <c r="R45" i="26"/>
  <c r="M45" i="26"/>
  <c r="N45" i="26" s="1"/>
  <c r="O45" i="26" s="1"/>
  <c r="G45" i="26"/>
  <c r="H45" i="26" s="1"/>
  <c r="I45" i="26" s="1"/>
  <c r="W44" i="26"/>
  <c r="X44" i="26" s="1"/>
  <c r="Y44" i="26" s="1"/>
  <c r="R44" i="26"/>
  <c r="M44" i="26"/>
  <c r="N44" i="26" s="1"/>
  <c r="O44" i="26" s="1"/>
  <c r="G44" i="26"/>
  <c r="H44" i="26" s="1"/>
  <c r="I44" i="26" s="1"/>
  <c r="W43" i="26"/>
  <c r="X43" i="26" s="1"/>
  <c r="Y43" i="26" s="1"/>
  <c r="R43" i="26"/>
  <c r="M43" i="26"/>
  <c r="N43" i="26" s="1"/>
  <c r="O43" i="26" s="1"/>
  <c r="G43" i="26"/>
  <c r="H43" i="26" s="1"/>
  <c r="I43" i="26" s="1"/>
  <c r="W42" i="26"/>
  <c r="X42" i="26" s="1"/>
  <c r="Y42" i="26" s="1"/>
  <c r="R42" i="26"/>
  <c r="M42" i="26"/>
  <c r="N42" i="26" s="1"/>
  <c r="O42" i="26" s="1"/>
  <c r="G42" i="26"/>
  <c r="H42" i="26" s="1"/>
  <c r="I42" i="26" s="1"/>
  <c r="W41" i="26"/>
  <c r="X41" i="26" s="1"/>
  <c r="Y41" i="26" s="1"/>
  <c r="R41" i="26"/>
  <c r="M41" i="26"/>
  <c r="N41" i="26" s="1"/>
  <c r="O41" i="26" s="1"/>
  <c r="G41" i="26"/>
  <c r="H41" i="26" s="1"/>
  <c r="I41" i="26" s="1"/>
  <c r="W40" i="26"/>
  <c r="X40" i="26" s="1"/>
  <c r="Y40" i="26" s="1"/>
  <c r="R40" i="26"/>
  <c r="M40" i="26"/>
  <c r="N40" i="26" s="1"/>
  <c r="O40" i="26" s="1"/>
  <c r="G40" i="26"/>
  <c r="H40" i="26" s="1"/>
  <c r="I40" i="26" s="1"/>
  <c r="W39" i="26"/>
  <c r="X39" i="26" s="1"/>
  <c r="Y39" i="26" s="1"/>
  <c r="R39" i="26"/>
  <c r="M39" i="26"/>
  <c r="N39" i="26" s="1"/>
  <c r="O39" i="26" s="1"/>
  <c r="G39" i="26"/>
  <c r="H39" i="26" s="1"/>
  <c r="I39" i="26" s="1"/>
  <c r="W38" i="26"/>
  <c r="X38" i="26" s="1"/>
  <c r="Y38" i="26" s="1"/>
  <c r="R38" i="26"/>
  <c r="M38" i="26"/>
  <c r="N38" i="26" s="1"/>
  <c r="O38" i="26" s="1"/>
  <c r="I38" i="26"/>
  <c r="G38" i="26"/>
  <c r="H38" i="26" s="1"/>
  <c r="W37" i="26"/>
  <c r="X37" i="26" s="1"/>
  <c r="Y37" i="26" s="1"/>
  <c r="R37" i="26"/>
  <c r="M37" i="26"/>
  <c r="N37" i="26" s="1"/>
  <c r="O37" i="26" s="1"/>
  <c r="G37" i="26"/>
  <c r="H37" i="26" s="1"/>
  <c r="I37" i="26" s="1"/>
  <c r="W36" i="26"/>
  <c r="X36" i="26" s="1"/>
  <c r="Y36" i="26" s="1"/>
  <c r="R36" i="26"/>
  <c r="M36" i="26"/>
  <c r="N36" i="26" s="1"/>
  <c r="O36" i="26" s="1"/>
  <c r="G36" i="26"/>
  <c r="H36" i="26" s="1"/>
  <c r="I36" i="26" s="1"/>
  <c r="W35" i="26"/>
  <c r="X35" i="26" s="1"/>
  <c r="Y35" i="26" s="1"/>
  <c r="R35" i="26"/>
  <c r="M35" i="26"/>
  <c r="N35" i="26" s="1"/>
  <c r="O35" i="26" s="1"/>
  <c r="G35" i="26"/>
  <c r="H35" i="26" s="1"/>
  <c r="I35" i="26" s="1"/>
  <c r="W34" i="26"/>
  <c r="X34" i="26" s="1"/>
  <c r="Y34" i="26" s="1"/>
  <c r="R34" i="26"/>
  <c r="M34" i="26"/>
  <c r="N34" i="26" s="1"/>
  <c r="O34" i="26" s="1"/>
  <c r="G34" i="26"/>
  <c r="H34" i="26" s="1"/>
  <c r="I34" i="26" s="1"/>
  <c r="W33" i="26"/>
  <c r="X33" i="26" s="1"/>
  <c r="Y33" i="26" s="1"/>
  <c r="R33" i="26"/>
  <c r="M33" i="26"/>
  <c r="N33" i="26" s="1"/>
  <c r="O33" i="26" s="1"/>
  <c r="G33" i="26"/>
  <c r="H33" i="26" s="1"/>
  <c r="I33" i="26" s="1"/>
  <c r="W32" i="26"/>
  <c r="X32" i="26" s="1"/>
  <c r="Y32" i="26" s="1"/>
  <c r="R32" i="26"/>
  <c r="M32" i="26"/>
  <c r="N32" i="26" s="1"/>
  <c r="O32" i="26" s="1"/>
  <c r="G32" i="26"/>
  <c r="H32" i="26" s="1"/>
  <c r="I32" i="26" s="1"/>
  <c r="W31" i="26"/>
  <c r="X31" i="26" s="1"/>
  <c r="Y31" i="26" s="1"/>
  <c r="R31" i="26"/>
  <c r="M31" i="26"/>
  <c r="N31" i="26" s="1"/>
  <c r="O31" i="26" s="1"/>
  <c r="G31" i="26"/>
  <c r="H31" i="26" s="1"/>
  <c r="I31" i="26" s="1"/>
  <c r="W30" i="26"/>
  <c r="X30" i="26" s="1"/>
  <c r="Y30" i="26" s="1"/>
  <c r="R30" i="26"/>
  <c r="M30" i="26"/>
  <c r="N30" i="26" s="1"/>
  <c r="O30" i="26" s="1"/>
  <c r="G30" i="26"/>
  <c r="H30" i="26" s="1"/>
  <c r="I30" i="26" s="1"/>
  <c r="W29" i="26"/>
  <c r="X29" i="26" s="1"/>
  <c r="Y29" i="26" s="1"/>
  <c r="R29" i="26"/>
  <c r="M29" i="26"/>
  <c r="N29" i="26" s="1"/>
  <c r="O29" i="26" s="1"/>
  <c r="G29" i="26"/>
  <c r="H29" i="26" s="1"/>
  <c r="I29" i="26" s="1"/>
  <c r="W28" i="26"/>
  <c r="X28" i="26" s="1"/>
  <c r="Y28" i="26" s="1"/>
  <c r="R28" i="26"/>
  <c r="M28" i="26"/>
  <c r="N28" i="26" s="1"/>
  <c r="O28" i="26" s="1"/>
  <c r="G28" i="26"/>
  <c r="H28" i="26" s="1"/>
  <c r="I28" i="26" s="1"/>
  <c r="W27" i="26"/>
  <c r="X27" i="26" s="1"/>
  <c r="Y27" i="26" s="1"/>
  <c r="R27" i="26"/>
  <c r="M27" i="26"/>
  <c r="N27" i="26" s="1"/>
  <c r="O27" i="26" s="1"/>
  <c r="G27" i="26"/>
  <c r="H27" i="26" s="1"/>
  <c r="I27" i="26" s="1"/>
  <c r="W26" i="26"/>
  <c r="X26" i="26" s="1"/>
  <c r="Y26" i="26" s="1"/>
  <c r="R26" i="26"/>
  <c r="M26" i="26"/>
  <c r="N26" i="26" s="1"/>
  <c r="O26" i="26" s="1"/>
  <c r="G26" i="26"/>
  <c r="H26" i="26" s="1"/>
  <c r="I26" i="26" s="1"/>
  <c r="W25" i="26"/>
  <c r="X25" i="26" s="1"/>
  <c r="Y25" i="26" s="1"/>
  <c r="R25" i="26"/>
  <c r="M25" i="26"/>
  <c r="N25" i="26" s="1"/>
  <c r="O25" i="26" s="1"/>
  <c r="G25" i="26"/>
  <c r="H25" i="26" s="1"/>
  <c r="I25" i="26" s="1"/>
  <c r="W24" i="26"/>
  <c r="X24" i="26" s="1"/>
  <c r="Y24" i="26" s="1"/>
  <c r="R24" i="26"/>
  <c r="M24" i="26"/>
  <c r="N24" i="26" s="1"/>
  <c r="O24" i="26" s="1"/>
  <c r="G24" i="26"/>
  <c r="H24" i="26" s="1"/>
  <c r="I24" i="26" s="1"/>
  <c r="W23" i="26"/>
  <c r="X23" i="26" s="1"/>
  <c r="Y23" i="26" s="1"/>
  <c r="R23" i="26"/>
  <c r="M23" i="26"/>
  <c r="N23" i="26" s="1"/>
  <c r="O23" i="26" s="1"/>
  <c r="G23" i="26"/>
  <c r="H23" i="26" s="1"/>
  <c r="I23" i="26" s="1"/>
  <c r="W22" i="26"/>
  <c r="X22" i="26" s="1"/>
  <c r="Y22" i="26" s="1"/>
  <c r="R22" i="26"/>
  <c r="M22" i="26"/>
  <c r="N22" i="26" s="1"/>
  <c r="O22" i="26" s="1"/>
  <c r="G22" i="26"/>
  <c r="H22" i="26" s="1"/>
  <c r="I22" i="26" s="1"/>
  <c r="W21" i="26"/>
  <c r="X21" i="26" s="1"/>
  <c r="Y21" i="26" s="1"/>
  <c r="R21" i="26"/>
  <c r="M21" i="26"/>
  <c r="N21" i="26" s="1"/>
  <c r="O21" i="26" s="1"/>
  <c r="G21" i="26"/>
  <c r="H21" i="26" s="1"/>
  <c r="I21" i="26" s="1"/>
  <c r="W20" i="26"/>
  <c r="X20" i="26" s="1"/>
  <c r="Y20" i="26" s="1"/>
  <c r="R20" i="26"/>
  <c r="M20" i="26"/>
  <c r="N20" i="26" s="1"/>
  <c r="O20" i="26" s="1"/>
  <c r="G20" i="26"/>
  <c r="H20" i="26" s="1"/>
  <c r="I20" i="26" s="1"/>
  <c r="W19" i="26"/>
  <c r="X19" i="26" s="1"/>
  <c r="Y19" i="26" s="1"/>
  <c r="R19" i="26"/>
  <c r="M19" i="26"/>
  <c r="N19" i="26" s="1"/>
  <c r="O19" i="26" s="1"/>
  <c r="G19" i="26"/>
  <c r="H19" i="26" s="1"/>
  <c r="I19" i="26" s="1"/>
  <c r="W18" i="26"/>
  <c r="X18" i="26" s="1"/>
  <c r="Y18" i="26" s="1"/>
  <c r="R18" i="26"/>
  <c r="M18" i="26"/>
  <c r="N18" i="26" s="1"/>
  <c r="O18" i="26" s="1"/>
  <c r="G18" i="26"/>
  <c r="H18" i="26" s="1"/>
  <c r="I18" i="26" s="1"/>
  <c r="W17" i="26"/>
  <c r="X17" i="26" s="1"/>
  <c r="Y17" i="26" s="1"/>
  <c r="R17" i="26"/>
  <c r="M17" i="26"/>
  <c r="N17" i="26" s="1"/>
  <c r="O17" i="26" s="1"/>
  <c r="G17" i="26"/>
  <c r="H17" i="26" s="1"/>
  <c r="I17" i="26" s="1"/>
  <c r="W16" i="26"/>
  <c r="X16" i="26" s="1"/>
  <c r="Y16" i="26" s="1"/>
  <c r="R16" i="26"/>
  <c r="M16" i="26"/>
  <c r="N16" i="26" s="1"/>
  <c r="O16" i="26" s="1"/>
  <c r="G16" i="26"/>
  <c r="H16" i="26" s="1"/>
  <c r="I16" i="26" s="1"/>
  <c r="W15" i="26"/>
  <c r="X15" i="26" s="1"/>
  <c r="Y15" i="26" s="1"/>
  <c r="R15" i="26"/>
  <c r="M15" i="26"/>
  <c r="N15" i="26" s="1"/>
  <c r="O15" i="26" s="1"/>
  <c r="G15" i="26"/>
  <c r="H15" i="26" s="1"/>
  <c r="I15" i="26" s="1"/>
  <c r="W14" i="26"/>
  <c r="X14" i="26" s="1"/>
  <c r="Y14" i="26" s="1"/>
  <c r="R14" i="26"/>
  <c r="M14" i="26"/>
  <c r="N14" i="26" s="1"/>
  <c r="O14" i="26" s="1"/>
  <c r="G14" i="26"/>
  <c r="H14" i="26" s="1"/>
  <c r="I14" i="26" s="1"/>
  <c r="W13" i="26"/>
  <c r="X13" i="26" s="1"/>
  <c r="Y13" i="26" s="1"/>
  <c r="R13" i="26"/>
  <c r="M13" i="26"/>
  <c r="N13" i="26" s="1"/>
  <c r="O13" i="26" s="1"/>
  <c r="G13" i="26"/>
  <c r="H13" i="26" s="1"/>
  <c r="I13" i="26" s="1"/>
  <c r="W62" i="25"/>
  <c r="X62" i="25" s="1"/>
  <c r="Y62" i="25" s="1"/>
  <c r="R62" i="25"/>
  <c r="M62" i="25"/>
  <c r="N62" i="25" s="1"/>
  <c r="O62" i="25" s="1"/>
  <c r="G62" i="25"/>
  <c r="H62" i="25" s="1"/>
  <c r="I62" i="25" s="1"/>
  <c r="W61" i="25"/>
  <c r="X61" i="25" s="1"/>
  <c r="Y61" i="25" s="1"/>
  <c r="R61" i="25"/>
  <c r="M61" i="25"/>
  <c r="N61" i="25" s="1"/>
  <c r="O61" i="25" s="1"/>
  <c r="G61" i="25"/>
  <c r="H61" i="25" s="1"/>
  <c r="I61" i="25" s="1"/>
  <c r="W60" i="25"/>
  <c r="X60" i="25" s="1"/>
  <c r="Y60" i="25" s="1"/>
  <c r="R60" i="25"/>
  <c r="M60" i="25"/>
  <c r="N60" i="25" s="1"/>
  <c r="O60" i="25" s="1"/>
  <c r="G60" i="25"/>
  <c r="H60" i="25" s="1"/>
  <c r="I60" i="25" s="1"/>
  <c r="W59" i="25"/>
  <c r="X59" i="25" s="1"/>
  <c r="Y59" i="25" s="1"/>
  <c r="R59" i="25"/>
  <c r="M59" i="25"/>
  <c r="N59" i="25" s="1"/>
  <c r="O59" i="25" s="1"/>
  <c r="G59" i="25"/>
  <c r="H59" i="25" s="1"/>
  <c r="I59" i="25" s="1"/>
  <c r="W58" i="25"/>
  <c r="X58" i="25" s="1"/>
  <c r="Y58" i="25" s="1"/>
  <c r="R58" i="25"/>
  <c r="M58" i="25"/>
  <c r="N58" i="25" s="1"/>
  <c r="O58" i="25" s="1"/>
  <c r="G58" i="25"/>
  <c r="H58" i="25" s="1"/>
  <c r="I58" i="25" s="1"/>
  <c r="W57" i="25"/>
  <c r="X57" i="25" s="1"/>
  <c r="Y57" i="25" s="1"/>
  <c r="R57" i="25"/>
  <c r="M57" i="25"/>
  <c r="N57" i="25" s="1"/>
  <c r="O57" i="25" s="1"/>
  <c r="G57" i="25"/>
  <c r="H57" i="25" s="1"/>
  <c r="I57" i="25" s="1"/>
  <c r="W56" i="25"/>
  <c r="X56" i="25" s="1"/>
  <c r="Y56" i="25" s="1"/>
  <c r="R56" i="25"/>
  <c r="M56" i="25"/>
  <c r="N56" i="25" s="1"/>
  <c r="O56" i="25" s="1"/>
  <c r="G56" i="25"/>
  <c r="H56" i="25" s="1"/>
  <c r="I56" i="25" s="1"/>
  <c r="W55" i="25"/>
  <c r="X55" i="25" s="1"/>
  <c r="Y55" i="25" s="1"/>
  <c r="R55" i="25"/>
  <c r="M55" i="25"/>
  <c r="N55" i="25" s="1"/>
  <c r="O55" i="25" s="1"/>
  <c r="G55" i="25"/>
  <c r="H55" i="25" s="1"/>
  <c r="I55" i="25" s="1"/>
  <c r="W54" i="25"/>
  <c r="X54" i="25" s="1"/>
  <c r="Y54" i="25" s="1"/>
  <c r="R54" i="25"/>
  <c r="M54" i="25"/>
  <c r="N54" i="25" s="1"/>
  <c r="O54" i="25" s="1"/>
  <c r="G54" i="25"/>
  <c r="H54" i="25" s="1"/>
  <c r="I54" i="25" s="1"/>
  <c r="W53" i="25"/>
  <c r="X53" i="25" s="1"/>
  <c r="Y53" i="25" s="1"/>
  <c r="R53" i="25"/>
  <c r="M53" i="25"/>
  <c r="N53" i="25" s="1"/>
  <c r="O53" i="25" s="1"/>
  <c r="G53" i="25"/>
  <c r="H53" i="25" s="1"/>
  <c r="I53" i="25" s="1"/>
  <c r="W52" i="25"/>
  <c r="X52" i="25" s="1"/>
  <c r="Y52" i="25" s="1"/>
  <c r="R52" i="25"/>
  <c r="M52" i="25"/>
  <c r="N52" i="25" s="1"/>
  <c r="O52" i="25" s="1"/>
  <c r="G52" i="25"/>
  <c r="H52" i="25" s="1"/>
  <c r="I52" i="25" s="1"/>
  <c r="W51" i="25"/>
  <c r="X51" i="25" s="1"/>
  <c r="Y51" i="25" s="1"/>
  <c r="R51" i="25"/>
  <c r="M51" i="25"/>
  <c r="N51" i="25" s="1"/>
  <c r="O51" i="25" s="1"/>
  <c r="G51" i="25"/>
  <c r="H51" i="25" s="1"/>
  <c r="I51" i="25" s="1"/>
  <c r="W50" i="25"/>
  <c r="X50" i="25" s="1"/>
  <c r="Y50" i="25" s="1"/>
  <c r="R50" i="25"/>
  <c r="M50" i="25"/>
  <c r="N50" i="25" s="1"/>
  <c r="O50" i="25" s="1"/>
  <c r="G50" i="25"/>
  <c r="H50" i="25" s="1"/>
  <c r="I50" i="25" s="1"/>
  <c r="W49" i="25"/>
  <c r="X49" i="25" s="1"/>
  <c r="Y49" i="25" s="1"/>
  <c r="R49" i="25"/>
  <c r="M49" i="25"/>
  <c r="N49" i="25" s="1"/>
  <c r="O49" i="25" s="1"/>
  <c r="G49" i="25"/>
  <c r="H49" i="25" s="1"/>
  <c r="I49" i="25" s="1"/>
  <c r="W48" i="25"/>
  <c r="X48" i="25" s="1"/>
  <c r="Y48" i="25" s="1"/>
  <c r="R48" i="25"/>
  <c r="M48" i="25"/>
  <c r="N48" i="25" s="1"/>
  <c r="O48" i="25" s="1"/>
  <c r="G48" i="25"/>
  <c r="H48" i="25" s="1"/>
  <c r="I48" i="25" s="1"/>
  <c r="W47" i="25"/>
  <c r="X47" i="25" s="1"/>
  <c r="Y47" i="25" s="1"/>
  <c r="R47" i="25"/>
  <c r="M47" i="25"/>
  <c r="N47" i="25" s="1"/>
  <c r="O47" i="25" s="1"/>
  <c r="G47" i="25"/>
  <c r="H47" i="25" s="1"/>
  <c r="I47" i="25" s="1"/>
  <c r="W46" i="25"/>
  <c r="X46" i="25" s="1"/>
  <c r="Y46" i="25" s="1"/>
  <c r="R46" i="25"/>
  <c r="M46" i="25"/>
  <c r="N46" i="25" s="1"/>
  <c r="O46" i="25" s="1"/>
  <c r="G46" i="25"/>
  <c r="H46" i="25" s="1"/>
  <c r="I46" i="25" s="1"/>
  <c r="W45" i="25"/>
  <c r="X45" i="25" s="1"/>
  <c r="Y45" i="25" s="1"/>
  <c r="R45" i="25"/>
  <c r="M45" i="25"/>
  <c r="N45" i="25" s="1"/>
  <c r="O45" i="25" s="1"/>
  <c r="G45" i="25"/>
  <c r="H45" i="25" s="1"/>
  <c r="I45" i="25" s="1"/>
  <c r="W44" i="25"/>
  <c r="X44" i="25" s="1"/>
  <c r="Y44" i="25" s="1"/>
  <c r="R44" i="25"/>
  <c r="M44" i="25"/>
  <c r="N44" i="25" s="1"/>
  <c r="O44" i="25" s="1"/>
  <c r="G44" i="25"/>
  <c r="H44" i="25" s="1"/>
  <c r="I44" i="25" s="1"/>
  <c r="W43" i="25"/>
  <c r="X43" i="25" s="1"/>
  <c r="Y43" i="25" s="1"/>
  <c r="R43" i="25"/>
  <c r="M43" i="25"/>
  <c r="N43" i="25" s="1"/>
  <c r="O43" i="25" s="1"/>
  <c r="G43" i="25"/>
  <c r="H43" i="25" s="1"/>
  <c r="I43" i="25" s="1"/>
  <c r="W42" i="25"/>
  <c r="X42" i="25" s="1"/>
  <c r="Y42" i="25" s="1"/>
  <c r="R42" i="25"/>
  <c r="M42" i="25"/>
  <c r="N42" i="25" s="1"/>
  <c r="O42" i="25" s="1"/>
  <c r="G42" i="25"/>
  <c r="H42" i="25" s="1"/>
  <c r="I42" i="25" s="1"/>
  <c r="W41" i="25"/>
  <c r="X41" i="25" s="1"/>
  <c r="Y41" i="25" s="1"/>
  <c r="R41" i="25"/>
  <c r="M41" i="25"/>
  <c r="N41" i="25" s="1"/>
  <c r="O41" i="25" s="1"/>
  <c r="G41" i="25"/>
  <c r="H41" i="25" s="1"/>
  <c r="I41" i="25" s="1"/>
  <c r="W40" i="25"/>
  <c r="X40" i="25" s="1"/>
  <c r="Y40" i="25" s="1"/>
  <c r="R40" i="25"/>
  <c r="M40" i="25"/>
  <c r="N40" i="25" s="1"/>
  <c r="O40" i="25" s="1"/>
  <c r="G40" i="25"/>
  <c r="H40" i="25" s="1"/>
  <c r="I40" i="25" s="1"/>
  <c r="W39" i="25"/>
  <c r="X39" i="25" s="1"/>
  <c r="Y39" i="25" s="1"/>
  <c r="R39" i="25"/>
  <c r="M39" i="25"/>
  <c r="N39" i="25" s="1"/>
  <c r="O39" i="25" s="1"/>
  <c r="G39" i="25"/>
  <c r="H39" i="25" s="1"/>
  <c r="I39" i="25" s="1"/>
  <c r="W38" i="25"/>
  <c r="X38" i="25" s="1"/>
  <c r="Y38" i="25" s="1"/>
  <c r="R38" i="25"/>
  <c r="M38" i="25"/>
  <c r="N38" i="25" s="1"/>
  <c r="O38" i="25" s="1"/>
  <c r="G38" i="25"/>
  <c r="H38" i="25" s="1"/>
  <c r="I38" i="25" s="1"/>
  <c r="W37" i="25"/>
  <c r="X37" i="25" s="1"/>
  <c r="Y37" i="25" s="1"/>
  <c r="R37" i="25"/>
  <c r="M37" i="25"/>
  <c r="N37" i="25" s="1"/>
  <c r="O37" i="25" s="1"/>
  <c r="G37" i="25"/>
  <c r="H37" i="25" s="1"/>
  <c r="I37" i="25" s="1"/>
  <c r="W36" i="25"/>
  <c r="X36" i="25" s="1"/>
  <c r="Y36" i="25" s="1"/>
  <c r="R36" i="25"/>
  <c r="M36" i="25"/>
  <c r="N36" i="25" s="1"/>
  <c r="O36" i="25" s="1"/>
  <c r="G36" i="25"/>
  <c r="H36" i="25" s="1"/>
  <c r="I36" i="25" s="1"/>
  <c r="W35" i="25"/>
  <c r="X35" i="25" s="1"/>
  <c r="Y35" i="25" s="1"/>
  <c r="R35" i="25"/>
  <c r="M35" i="25"/>
  <c r="N35" i="25" s="1"/>
  <c r="O35" i="25" s="1"/>
  <c r="G35" i="25"/>
  <c r="H35" i="25" s="1"/>
  <c r="I35" i="25" s="1"/>
  <c r="W34" i="25"/>
  <c r="X34" i="25" s="1"/>
  <c r="Y34" i="25" s="1"/>
  <c r="R34" i="25"/>
  <c r="M34" i="25"/>
  <c r="N34" i="25" s="1"/>
  <c r="O34" i="25" s="1"/>
  <c r="G34" i="25"/>
  <c r="H34" i="25" s="1"/>
  <c r="I34" i="25" s="1"/>
  <c r="W33" i="25"/>
  <c r="X33" i="25" s="1"/>
  <c r="Y33" i="25" s="1"/>
  <c r="R33" i="25"/>
  <c r="M33" i="25"/>
  <c r="N33" i="25" s="1"/>
  <c r="O33" i="25" s="1"/>
  <c r="G33" i="25"/>
  <c r="H33" i="25" s="1"/>
  <c r="I33" i="25" s="1"/>
  <c r="W32" i="25"/>
  <c r="X32" i="25" s="1"/>
  <c r="Y32" i="25" s="1"/>
  <c r="R32" i="25"/>
  <c r="M32" i="25"/>
  <c r="N32" i="25" s="1"/>
  <c r="O32" i="25" s="1"/>
  <c r="G32" i="25"/>
  <c r="H32" i="25" s="1"/>
  <c r="I32" i="25" s="1"/>
  <c r="W31" i="25"/>
  <c r="X31" i="25" s="1"/>
  <c r="Y31" i="25" s="1"/>
  <c r="R31" i="25"/>
  <c r="M31" i="25"/>
  <c r="N31" i="25" s="1"/>
  <c r="O31" i="25" s="1"/>
  <c r="G31" i="25"/>
  <c r="H31" i="25" s="1"/>
  <c r="I31" i="25" s="1"/>
  <c r="W30" i="25"/>
  <c r="X30" i="25" s="1"/>
  <c r="Y30" i="25" s="1"/>
  <c r="R30" i="25"/>
  <c r="M30" i="25"/>
  <c r="N30" i="25" s="1"/>
  <c r="O30" i="25" s="1"/>
  <c r="G30" i="25"/>
  <c r="H30" i="25" s="1"/>
  <c r="I30" i="25" s="1"/>
  <c r="W29" i="25"/>
  <c r="X29" i="25" s="1"/>
  <c r="Y29" i="25" s="1"/>
  <c r="R29" i="25"/>
  <c r="M29" i="25"/>
  <c r="N29" i="25" s="1"/>
  <c r="O29" i="25" s="1"/>
  <c r="G29" i="25"/>
  <c r="H29" i="25" s="1"/>
  <c r="I29" i="25" s="1"/>
  <c r="W28" i="25"/>
  <c r="X28" i="25" s="1"/>
  <c r="Y28" i="25" s="1"/>
  <c r="R28" i="25"/>
  <c r="M28" i="25"/>
  <c r="N28" i="25" s="1"/>
  <c r="O28" i="25" s="1"/>
  <c r="G28" i="25"/>
  <c r="H28" i="25" s="1"/>
  <c r="I28" i="25" s="1"/>
  <c r="W27" i="25"/>
  <c r="X27" i="25" s="1"/>
  <c r="Y27" i="25" s="1"/>
  <c r="R27" i="25"/>
  <c r="M27" i="25"/>
  <c r="N27" i="25" s="1"/>
  <c r="O27" i="25" s="1"/>
  <c r="G27" i="25"/>
  <c r="H27" i="25" s="1"/>
  <c r="I27" i="25" s="1"/>
  <c r="W26" i="25"/>
  <c r="X26" i="25" s="1"/>
  <c r="Y26" i="25" s="1"/>
  <c r="R26" i="25"/>
  <c r="M26" i="25"/>
  <c r="N26" i="25" s="1"/>
  <c r="O26" i="25" s="1"/>
  <c r="G26" i="25"/>
  <c r="H26" i="25" s="1"/>
  <c r="I26" i="25" s="1"/>
  <c r="W25" i="25"/>
  <c r="X25" i="25" s="1"/>
  <c r="Y25" i="25" s="1"/>
  <c r="R25" i="25"/>
  <c r="M25" i="25"/>
  <c r="N25" i="25" s="1"/>
  <c r="O25" i="25" s="1"/>
  <c r="G25" i="25"/>
  <c r="H25" i="25" s="1"/>
  <c r="I25" i="25" s="1"/>
  <c r="W24" i="25"/>
  <c r="X24" i="25" s="1"/>
  <c r="Y24" i="25" s="1"/>
  <c r="R24" i="25"/>
  <c r="M24" i="25"/>
  <c r="N24" i="25" s="1"/>
  <c r="O24" i="25" s="1"/>
  <c r="G24" i="25"/>
  <c r="H24" i="25" s="1"/>
  <c r="I24" i="25" s="1"/>
  <c r="W23" i="25"/>
  <c r="X23" i="25" s="1"/>
  <c r="Y23" i="25" s="1"/>
  <c r="R23" i="25"/>
  <c r="M23" i="25"/>
  <c r="N23" i="25" s="1"/>
  <c r="O23" i="25" s="1"/>
  <c r="H23" i="25"/>
  <c r="I23" i="25" s="1"/>
  <c r="G23" i="25"/>
  <c r="W22" i="25"/>
  <c r="X22" i="25" s="1"/>
  <c r="Y22" i="25" s="1"/>
  <c r="R22" i="25"/>
  <c r="M22" i="25"/>
  <c r="N22" i="25" s="1"/>
  <c r="O22" i="25" s="1"/>
  <c r="G22" i="25"/>
  <c r="H22" i="25" s="1"/>
  <c r="I22" i="25" s="1"/>
  <c r="W21" i="25"/>
  <c r="X21" i="25" s="1"/>
  <c r="Y21" i="25" s="1"/>
  <c r="R21" i="25"/>
  <c r="M21" i="25"/>
  <c r="N21" i="25" s="1"/>
  <c r="O21" i="25" s="1"/>
  <c r="G21" i="25"/>
  <c r="H21" i="25" s="1"/>
  <c r="I21" i="25" s="1"/>
  <c r="W20" i="25"/>
  <c r="X20" i="25" s="1"/>
  <c r="Y20" i="25" s="1"/>
  <c r="R20" i="25"/>
  <c r="M20" i="25"/>
  <c r="N20" i="25" s="1"/>
  <c r="O20" i="25" s="1"/>
  <c r="G20" i="25"/>
  <c r="H20" i="25" s="1"/>
  <c r="I20" i="25" s="1"/>
  <c r="W19" i="25"/>
  <c r="X19" i="25" s="1"/>
  <c r="Y19" i="25" s="1"/>
  <c r="R19" i="25"/>
  <c r="M19" i="25"/>
  <c r="N19" i="25" s="1"/>
  <c r="O19" i="25" s="1"/>
  <c r="G19" i="25"/>
  <c r="H19" i="25" s="1"/>
  <c r="I19" i="25" s="1"/>
  <c r="W18" i="25"/>
  <c r="X18" i="25" s="1"/>
  <c r="Y18" i="25" s="1"/>
  <c r="R18" i="25"/>
  <c r="N18" i="25"/>
  <c r="O18" i="25" s="1"/>
  <c r="M18" i="25"/>
  <c r="G18" i="25"/>
  <c r="H18" i="25" s="1"/>
  <c r="I18" i="25" s="1"/>
  <c r="W17" i="25"/>
  <c r="X17" i="25" s="1"/>
  <c r="Y17" i="25" s="1"/>
  <c r="R17" i="25"/>
  <c r="M17" i="25"/>
  <c r="N17" i="25" s="1"/>
  <c r="O17" i="25" s="1"/>
  <c r="G17" i="25"/>
  <c r="H17" i="25" s="1"/>
  <c r="I17" i="25" s="1"/>
  <c r="W16" i="25"/>
  <c r="X16" i="25" s="1"/>
  <c r="Y16" i="25" s="1"/>
  <c r="R16" i="25"/>
  <c r="M16" i="25"/>
  <c r="N16" i="25" s="1"/>
  <c r="O16" i="25" s="1"/>
  <c r="G16" i="25"/>
  <c r="H16" i="25" s="1"/>
  <c r="I16" i="25" s="1"/>
  <c r="W15" i="25"/>
  <c r="X15" i="25" s="1"/>
  <c r="Y15" i="25" s="1"/>
  <c r="R15" i="25"/>
  <c r="M15" i="25"/>
  <c r="N15" i="25" s="1"/>
  <c r="O15" i="25" s="1"/>
  <c r="G15" i="25"/>
  <c r="H15" i="25" s="1"/>
  <c r="I15" i="25" s="1"/>
  <c r="W14" i="25"/>
  <c r="X14" i="25" s="1"/>
  <c r="Y14" i="25" s="1"/>
  <c r="R14" i="25"/>
  <c r="M14" i="25"/>
  <c r="N14" i="25" s="1"/>
  <c r="O14" i="25" s="1"/>
  <c r="G14" i="25"/>
  <c r="H14" i="25" s="1"/>
  <c r="I14" i="25" s="1"/>
  <c r="W13" i="25"/>
  <c r="X13" i="25" s="1"/>
  <c r="Y13" i="25" s="1"/>
  <c r="R13" i="25"/>
  <c r="M13" i="25"/>
  <c r="N13" i="25" s="1"/>
  <c r="O13" i="25" s="1"/>
  <c r="G13" i="25"/>
  <c r="H13" i="25" s="1"/>
  <c r="I13" i="25" s="1"/>
  <c r="W62" i="24"/>
  <c r="X62" i="24" s="1"/>
  <c r="Y62" i="24" s="1"/>
  <c r="R62" i="24"/>
  <c r="M62" i="24"/>
  <c r="N62" i="24" s="1"/>
  <c r="O62" i="24" s="1"/>
  <c r="G62" i="24"/>
  <c r="H62" i="24" s="1"/>
  <c r="I62" i="24" s="1"/>
  <c r="W61" i="24"/>
  <c r="X61" i="24" s="1"/>
  <c r="Y61" i="24" s="1"/>
  <c r="R61" i="24"/>
  <c r="M61" i="24"/>
  <c r="N61" i="24" s="1"/>
  <c r="O61" i="24" s="1"/>
  <c r="G61" i="24"/>
  <c r="H61" i="24" s="1"/>
  <c r="I61" i="24" s="1"/>
  <c r="W60" i="24"/>
  <c r="X60" i="24" s="1"/>
  <c r="Y60" i="24" s="1"/>
  <c r="R60" i="24"/>
  <c r="N60" i="24"/>
  <c r="O60" i="24" s="1"/>
  <c r="G60" i="24"/>
  <c r="H60" i="24" s="1"/>
  <c r="I60" i="24" s="1"/>
  <c r="W59" i="24"/>
  <c r="X59" i="24" s="1"/>
  <c r="Y59" i="24" s="1"/>
  <c r="R59" i="24"/>
  <c r="M59" i="24"/>
  <c r="N59" i="24" s="1"/>
  <c r="O59" i="24" s="1"/>
  <c r="G59" i="24"/>
  <c r="H59" i="24" s="1"/>
  <c r="I59" i="24" s="1"/>
  <c r="W58" i="24"/>
  <c r="X58" i="24" s="1"/>
  <c r="Y58" i="24" s="1"/>
  <c r="R58" i="24"/>
  <c r="M58" i="24"/>
  <c r="N58" i="24" s="1"/>
  <c r="O58" i="24" s="1"/>
  <c r="G58" i="24"/>
  <c r="H58" i="24" s="1"/>
  <c r="I58" i="24" s="1"/>
  <c r="W57" i="24"/>
  <c r="X57" i="24" s="1"/>
  <c r="Y57" i="24" s="1"/>
  <c r="R57" i="24"/>
  <c r="M57" i="24"/>
  <c r="N57" i="24" s="1"/>
  <c r="O57" i="24" s="1"/>
  <c r="G57" i="24"/>
  <c r="H57" i="24" s="1"/>
  <c r="I57" i="24" s="1"/>
  <c r="W56" i="24"/>
  <c r="X56" i="24" s="1"/>
  <c r="Y56" i="24" s="1"/>
  <c r="R56" i="24"/>
  <c r="M56" i="24"/>
  <c r="N56" i="24" s="1"/>
  <c r="O56" i="24" s="1"/>
  <c r="G56" i="24"/>
  <c r="H56" i="24" s="1"/>
  <c r="I56" i="24" s="1"/>
  <c r="W55" i="24"/>
  <c r="X55" i="24" s="1"/>
  <c r="Y55" i="24" s="1"/>
  <c r="R55" i="24"/>
  <c r="M55" i="24"/>
  <c r="N55" i="24" s="1"/>
  <c r="O55" i="24" s="1"/>
  <c r="G55" i="24"/>
  <c r="H55" i="24" s="1"/>
  <c r="I55" i="24" s="1"/>
  <c r="W54" i="24"/>
  <c r="X54" i="24" s="1"/>
  <c r="Y54" i="24" s="1"/>
  <c r="R54" i="24"/>
  <c r="M54" i="24"/>
  <c r="N54" i="24" s="1"/>
  <c r="O54" i="24" s="1"/>
  <c r="H54" i="24"/>
  <c r="I54" i="24" s="1"/>
  <c r="G54" i="24"/>
  <c r="W53" i="24"/>
  <c r="X53" i="24" s="1"/>
  <c r="Y53" i="24" s="1"/>
  <c r="R53" i="24"/>
  <c r="M53" i="24"/>
  <c r="N53" i="24" s="1"/>
  <c r="O53" i="24" s="1"/>
  <c r="G53" i="24"/>
  <c r="H53" i="24" s="1"/>
  <c r="I53" i="24" s="1"/>
  <c r="W52" i="24"/>
  <c r="X52" i="24" s="1"/>
  <c r="Y52" i="24" s="1"/>
  <c r="R52" i="24"/>
  <c r="M52" i="24"/>
  <c r="N52" i="24" s="1"/>
  <c r="O52" i="24" s="1"/>
  <c r="G52" i="24"/>
  <c r="H52" i="24" s="1"/>
  <c r="I52" i="24" s="1"/>
  <c r="W51" i="24"/>
  <c r="X51" i="24" s="1"/>
  <c r="Y51" i="24" s="1"/>
  <c r="R51" i="24"/>
  <c r="M51" i="24"/>
  <c r="N51" i="24" s="1"/>
  <c r="O51" i="24" s="1"/>
  <c r="G51" i="24"/>
  <c r="H51" i="24" s="1"/>
  <c r="I51" i="24" s="1"/>
  <c r="W50" i="24"/>
  <c r="X50" i="24" s="1"/>
  <c r="Y50" i="24" s="1"/>
  <c r="R50" i="24"/>
  <c r="M50" i="24"/>
  <c r="N50" i="24" s="1"/>
  <c r="O50" i="24" s="1"/>
  <c r="G50" i="24"/>
  <c r="H50" i="24" s="1"/>
  <c r="I50" i="24" s="1"/>
  <c r="W49" i="24"/>
  <c r="X49" i="24" s="1"/>
  <c r="Y49" i="24" s="1"/>
  <c r="R49" i="24"/>
  <c r="M49" i="24"/>
  <c r="N49" i="24" s="1"/>
  <c r="O49" i="24" s="1"/>
  <c r="G49" i="24"/>
  <c r="H49" i="24" s="1"/>
  <c r="I49" i="24" s="1"/>
  <c r="W48" i="24"/>
  <c r="X48" i="24" s="1"/>
  <c r="Y48" i="24" s="1"/>
  <c r="R48" i="24"/>
  <c r="M48" i="24"/>
  <c r="N48" i="24" s="1"/>
  <c r="O48" i="24" s="1"/>
  <c r="G48" i="24"/>
  <c r="H48" i="24" s="1"/>
  <c r="I48" i="24" s="1"/>
  <c r="W47" i="24"/>
  <c r="X47" i="24" s="1"/>
  <c r="Y47" i="24" s="1"/>
  <c r="R47" i="24"/>
  <c r="M47" i="24"/>
  <c r="N47" i="24" s="1"/>
  <c r="O47" i="24" s="1"/>
  <c r="G47" i="24"/>
  <c r="H47" i="24" s="1"/>
  <c r="I47" i="24" s="1"/>
  <c r="W46" i="24"/>
  <c r="X46" i="24" s="1"/>
  <c r="Y46" i="24" s="1"/>
  <c r="R46" i="24"/>
  <c r="M46" i="24"/>
  <c r="N46" i="24" s="1"/>
  <c r="O46" i="24" s="1"/>
  <c r="G46" i="24"/>
  <c r="H46" i="24" s="1"/>
  <c r="I46" i="24" s="1"/>
  <c r="W45" i="24"/>
  <c r="X45" i="24" s="1"/>
  <c r="Y45" i="24" s="1"/>
  <c r="R45" i="24"/>
  <c r="M45" i="24"/>
  <c r="N45" i="24" s="1"/>
  <c r="O45" i="24" s="1"/>
  <c r="G45" i="24"/>
  <c r="H45" i="24" s="1"/>
  <c r="I45" i="24" s="1"/>
  <c r="W44" i="24"/>
  <c r="X44" i="24" s="1"/>
  <c r="Y44" i="24" s="1"/>
  <c r="R44" i="24"/>
  <c r="M44" i="24"/>
  <c r="N44" i="24" s="1"/>
  <c r="O44" i="24" s="1"/>
  <c r="G44" i="24"/>
  <c r="H44" i="24" s="1"/>
  <c r="I44" i="24" s="1"/>
  <c r="W43" i="24"/>
  <c r="X43" i="24" s="1"/>
  <c r="Y43" i="24" s="1"/>
  <c r="R43" i="24"/>
  <c r="M43" i="24"/>
  <c r="N43" i="24" s="1"/>
  <c r="O43" i="24" s="1"/>
  <c r="G43" i="24"/>
  <c r="H43" i="24" s="1"/>
  <c r="I43" i="24" s="1"/>
  <c r="W42" i="24"/>
  <c r="X42" i="24" s="1"/>
  <c r="Y42" i="24" s="1"/>
  <c r="R42" i="24"/>
  <c r="M42" i="24"/>
  <c r="N42" i="24" s="1"/>
  <c r="O42" i="24" s="1"/>
  <c r="G42" i="24"/>
  <c r="H42" i="24" s="1"/>
  <c r="I42" i="24" s="1"/>
  <c r="W41" i="24"/>
  <c r="X41" i="24" s="1"/>
  <c r="Y41" i="24" s="1"/>
  <c r="R41" i="24"/>
  <c r="M41" i="24"/>
  <c r="N41" i="24" s="1"/>
  <c r="O41" i="24" s="1"/>
  <c r="G41" i="24"/>
  <c r="H41" i="24" s="1"/>
  <c r="I41" i="24" s="1"/>
  <c r="W40" i="24"/>
  <c r="X40" i="24" s="1"/>
  <c r="Y40" i="24" s="1"/>
  <c r="R40" i="24"/>
  <c r="M40" i="24"/>
  <c r="N40" i="24" s="1"/>
  <c r="O40" i="24" s="1"/>
  <c r="G40" i="24"/>
  <c r="H40" i="24" s="1"/>
  <c r="I40" i="24" s="1"/>
  <c r="W39" i="24"/>
  <c r="X39" i="24" s="1"/>
  <c r="Y39" i="24" s="1"/>
  <c r="R39" i="24"/>
  <c r="M39" i="24"/>
  <c r="N39" i="24" s="1"/>
  <c r="O39" i="24" s="1"/>
  <c r="G39" i="24"/>
  <c r="H39" i="24" s="1"/>
  <c r="I39" i="24" s="1"/>
  <c r="W38" i="24"/>
  <c r="X38" i="24" s="1"/>
  <c r="Y38" i="24" s="1"/>
  <c r="R38" i="24"/>
  <c r="M38" i="24"/>
  <c r="N38" i="24" s="1"/>
  <c r="O38" i="24" s="1"/>
  <c r="G38" i="24"/>
  <c r="H38" i="24" s="1"/>
  <c r="I38" i="24" s="1"/>
  <c r="W37" i="24"/>
  <c r="X37" i="24" s="1"/>
  <c r="Y37" i="24" s="1"/>
  <c r="R37" i="24"/>
  <c r="M37" i="24"/>
  <c r="N37" i="24" s="1"/>
  <c r="O37" i="24" s="1"/>
  <c r="G37" i="24"/>
  <c r="H37" i="24" s="1"/>
  <c r="I37" i="24" s="1"/>
  <c r="W36" i="24"/>
  <c r="X36" i="24" s="1"/>
  <c r="Y36" i="24" s="1"/>
  <c r="R36" i="24"/>
  <c r="M36" i="24"/>
  <c r="N36" i="24" s="1"/>
  <c r="O36" i="24" s="1"/>
  <c r="G36" i="24"/>
  <c r="H36" i="24" s="1"/>
  <c r="I36" i="24" s="1"/>
  <c r="W35" i="24"/>
  <c r="X35" i="24" s="1"/>
  <c r="Y35" i="24" s="1"/>
  <c r="R35" i="24"/>
  <c r="M35" i="24"/>
  <c r="N35" i="24" s="1"/>
  <c r="O35" i="24" s="1"/>
  <c r="G35" i="24"/>
  <c r="H35" i="24" s="1"/>
  <c r="I35" i="24" s="1"/>
  <c r="W34" i="24"/>
  <c r="X34" i="24" s="1"/>
  <c r="Y34" i="24" s="1"/>
  <c r="R34" i="24"/>
  <c r="M34" i="24"/>
  <c r="N34" i="24" s="1"/>
  <c r="O34" i="24" s="1"/>
  <c r="G34" i="24"/>
  <c r="H34" i="24" s="1"/>
  <c r="I34" i="24" s="1"/>
  <c r="W33" i="24"/>
  <c r="X33" i="24" s="1"/>
  <c r="Y33" i="24" s="1"/>
  <c r="R33" i="24"/>
  <c r="M33" i="24"/>
  <c r="N33" i="24" s="1"/>
  <c r="O33" i="24" s="1"/>
  <c r="G33" i="24"/>
  <c r="H33" i="24" s="1"/>
  <c r="I33" i="24" s="1"/>
  <c r="W32" i="24"/>
  <c r="X32" i="24" s="1"/>
  <c r="Y32" i="24" s="1"/>
  <c r="R32" i="24"/>
  <c r="M32" i="24"/>
  <c r="N32" i="24" s="1"/>
  <c r="O32" i="24" s="1"/>
  <c r="G32" i="24"/>
  <c r="H32" i="24" s="1"/>
  <c r="I32" i="24" s="1"/>
  <c r="W31" i="24"/>
  <c r="X31" i="24" s="1"/>
  <c r="Y31" i="24" s="1"/>
  <c r="R31" i="24"/>
  <c r="M31" i="24"/>
  <c r="N31" i="24" s="1"/>
  <c r="O31" i="24" s="1"/>
  <c r="G31" i="24"/>
  <c r="H31" i="24" s="1"/>
  <c r="I31" i="24" s="1"/>
  <c r="W30" i="24"/>
  <c r="X30" i="24" s="1"/>
  <c r="Y30" i="24" s="1"/>
  <c r="R30" i="24"/>
  <c r="M30" i="24"/>
  <c r="N30" i="24" s="1"/>
  <c r="O30" i="24" s="1"/>
  <c r="G30" i="24"/>
  <c r="H30" i="24" s="1"/>
  <c r="I30" i="24" s="1"/>
  <c r="W29" i="24"/>
  <c r="X29" i="24" s="1"/>
  <c r="Y29" i="24" s="1"/>
  <c r="R29" i="24"/>
  <c r="M29" i="24"/>
  <c r="N29" i="24" s="1"/>
  <c r="O29" i="24" s="1"/>
  <c r="G29" i="24"/>
  <c r="H29" i="24" s="1"/>
  <c r="I29" i="24" s="1"/>
  <c r="W28" i="24"/>
  <c r="X28" i="24" s="1"/>
  <c r="Y28" i="24" s="1"/>
  <c r="R28" i="24"/>
  <c r="M28" i="24"/>
  <c r="N28" i="24" s="1"/>
  <c r="O28" i="24" s="1"/>
  <c r="G28" i="24"/>
  <c r="H28" i="24" s="1"/>
  <c r="I28" i="24" s="1"/>
  <c r="W27" i="24"/>
  <c r="X27" i="24" s="1"/>
  <c r="Y27" i="24" s="1"/>
  <c r="R27" i="24"/>
  <c r="M27" i="24"/>
  <c r="N27" i="24" s="1"/>
  <c r="O27" i="24" s="1"/>
  <c r="G27" i="24"/>
  <c r="H27" i="24" s="1"/>
  <c r="I27" i="24" s="1"/>
  <c r="W26" i="24"/>
  <c r="X26" i="24" s="1"/>
  <c r="Y26" i="24" s="1"/>
  <c r="R26" i="24"/>
  <c r="M26" i="24"/>
  <c r="N26" i="24" s="1"/>
  <c r="O26" i="24" s="1"/>
  <c r="G26" i="24"/>
  <c r="H26" i="24" s="1"/>
  <c r="I26" i="24" s="1"/>
  <c r="W25" i="24"/>
  <c r="X25" i="24" s="1"/>
  <c r="Y25" i="24" s="1"/>
  <c r="R25" i="24"/>
  <c r="M25" i="24"/>
  <c r="N25" i="24" s="1"/>
  <c r="O25" i="24" s="1"/>
  <c r="G25" i="24"/>
  <c r="H25" i="24" s="1"/>
  <c r="I25" i="24" s="1"/>
  <c r="W24" i="24"/>
  <c r="X24" i="24" s="1"/>
  <c r="Y24" i="24" s="1"/>
  <c r="R24" i="24"/>
  <c r="M24" i="24"/>
  <c r="N24" i="24" s="1"/>
  <c r="O24" i="24" s="1"/>
  <c r="G24" i="24"/>
  <c r="H24" i="24" s="1"/>
  <c r="I24" i="24" s="1"/>
  <c r="W23" i="24"/>
  <c r="X23" i="24" s="1"/>
  <c r="Y23" i="24" s="1"/>
  <c r="R23" i="24"/>
  <c r="M23" i="24"/>
  <c r="N23" i="24" s="1"/>
  <c r="O23" i="24" s="1"/>
  <c r="G23" i="24"/>
  <c r="H23" i="24" s="1"/>
  <c r="I23" i="24" s="1"/>
  <c r="W22" i="24"/>
  <c r="X22" i="24" s="1"/>
  <c r="Y22" i="24" s="1"/>
  <c r="R22" i="24"/>
  <c r="M22" i="24"/>
  <c r="N22" i="24" s="1"/>
  <c r="O22" i="24" s="1"/>
  <c r="G22" i="24"/>
  <c r="H22" i="24" s="1"/>
  <c r="I22" i="24" s="1"/>
  <c r="W21" i="24"/>
  <c r="X21" i="24" s="1"/>
  <c r="Y21" i="24" s="1"/>
  <c r="R21" i="24"/>
  <c r="M21" i="24"/>
  <c r="N21" i="24" s="1"/>
  <c r="O21" i="24" s="1"/>
  <c r="G21" i="24"/>
  <c r="H21" i="24" s="1"/>
  <c r="I21" i="24" s="1"/>
  <c r="W20" i="24"/>
  <c r="X20" i="24" s="1"/>
  <c r="Y20" i="24" s="1"/>
  <c r="R20" i="24"/>
  <c r="M20" i="24"/>
  <c r="N20" i="24" s="1"/>
  <c r="O20" i="24" s="1"/>
  <c r="G20" i="24"/>
  <c r="H20" i="24" s="1"/>
  <c r="I20" i="24" s="1"/>
  <c r="W19" i="24"/>
  <c r="X19" i="24" s="1"/>
  <c r="Y19" i="24" s="1"/>
  <c r="R19" i="24"/>
  <c r="M19" i="24"/>
  <c r="N19" i="24" s="1"/>
  <c r="O19" i="24" s="1"/>
  <c r="G19" i="24"/>
  <c r="H19" i="24" s="1"/>
  <c r="I19" i="24" s="1"/>
  <c r="W18" i="24"/>
  <c r="X18" i="24" s="1"/>
  <c r="Y18" i="24" s="1"/>
  <c r="R18" i="24"/>
  <c r="M18" i="24"/>
  <c r="N18" i="24" s="1"/>
  <c r="O18" i="24" s="1"/>
  <c r="G18" i="24"/>
  <c r="H18" i="24" s="1"/>
  <c r="I18" i="24" s="1"/>
  <c r="W17" i="24"/>
  <c r="X17" i="24" s="1"/>
  <c r="Y17" i="24" s="1"/>
  <c r="R17" i="24"/>
  <c r="M17" i="24"/>
  <c r="N17" i="24" s="1"/>
  <c r="O17" i="24" s="1"/>
  <c r="G17" i="24"/>
  <c r="H17" i="24" s="1"/>
  <c r="I17" i="24" s="1"/>
  <c r="W16" i="24"/>
  <c r="X16" i="24" s="1"/>
  <c r="Y16" i="24" s="1"/>
  <c r="R16" i="24"/>
  <c r="M16" i="24"/>
  <c r="N16" i="24" s="1"/>
  <c r="O16" i="24" s="1"/>
  <c r="G16" i="24"/>
  <c r="H16" i="24" s="1"/>
  <c r="I16" i="24" s="1"/>
  <c r="W15" i="24"/>
  <c r="X15" i="24" s="1"/>
  <c r="Y15" i="24" s="1"/>
  <c r="R15" i="24"/>
  <c r="M15" i="24"/>
  <c r="N15" i="24" s="1"/>
  <c r="O15" i="24" s="1"/>
  <c r="G15" i="24"/>
  <c r="H15" i="24" s="1"/>
  <c r="I15" i="24" s="1"/>
  <c r="W14" i="24"/>
  <c r="X14" i="24" s="1"/>
  <c r="Y14" i="24" s="1"/>
  <c r="R14" i="24"/>
  <c r="M14" i="24"/>
  <c r="N14" i="24" s="1"/>
  <c r="O14" i="24" s="1"/>
  <c r="G14" i="24"/>
  <c r="H14" i="24" s="1"/>
  <c r="I14" i="24" s="1"/>
  <c r="W13" i="24"/>
  <c r="X13" i="24" s="1"/>
  <c r="Y13" i="24" s="1"/>
  <c r="R13" i="24"/>
  <c r="M13" i="24"/>
  <c r="N13" i="24" s="1"/>
  <c r="O13" i="24" s="1"/>
  <c r="G13" i="24"/>
  <c r="H13" i="24" s="1"/>
  <c r="I13" i="24" s="1"/>
  <c r="W62" i="23"/>
  <c r="X62" i="23" s="1"/>
  <c r="Y62" i="23" s="1"/>
  <c r="R62" i="23"/>
  <c r="M62" i="23"/>
  <c r="N62" i="23" s="1"/>
  <c r="O62" i="23" s="1"/>
  <c r="G62" i="23"/>
  <c r="H62" i="23" s="1"/>
  <c r="I62" i="23" s="1"/>
  <c r="W61" i="23"/>
  <c r="X61" i="23" s="1"/>
  <c r="Y61" i="23" s="1"/>
  <c r="R61" i="23"/>
  <c r="M61" i="23"/>
  <c r="N61" i="23" s="1"/>
  <c r="O61" i="23" s="1"/>
  <c r="G61" i="23"/>
  <c r="H61" i="23" s="1"/>
  <c r="I61" i="23" s="1"/>
  <c r="W60" i="23"/>
  <c r="X60" i="23" s="1"/>
  <c r="Y60" i="23" s="1"/>
  <c r="R60" i="23"/>
  <c r="M60" i="23"/>
  <c r="N60" i="23" s="1"/>
  <c r="O60" i="23" s="1"/>
  <c r="G60" i="23"/>
  <c r="H60" i="23" s="1"/>
  <c r="I60" i="23" s="1"/>
  <c r="W59" i="23"/>
  <c r="X59" i="23" s="1"/>
  <c r="Y59" i="23" s="1"/>
  <c r="R59" i="23"/>
  <c r="M59" i="23"/>
  <c r="N59" i="23" s="1"/>
  <c r="O59" i="23" s="1"/>
  <c r="G59" i="23"/>
  <c r="H59" i="23" s="1"/>
  <c r="I59" i="23" s="1"/>
  <c r="W58" i="23"/>
  <c r="X58" i="23" s="1"/>
  <c r="Y58" i="23" s="1"/>
  <c r="R58" i="23"/>
  <c r="M58" i="23"/>
  <c r="N58" i="23" s="1"/>
  <c r="O58" i="23" s="1"/>
  <c r="G58" i="23"/>
  <c r="H58" i="23" s="1"/>
  <c r="I58" i="23" s="1"/>
  <c r="W57" i="23"/>
  <c r="X57" i="23" s="1"/>
  <c r="Y57" i="23" s="1"/>
  <c r="R57" i="23"/>
  <c r="M57" i="23"/>
  <c r="N57" i="23" s="1"/>
  <c r="O57" i="23" s="1"/>
  <c r="G57" i="23"/>
  <c r="H57" i="23" s="1"/>
  <c r="I57" i="23" s="1"/>
  <c r="W56" i="23"/>
  <c r="X56" i="23" s="1"/>
  <c r="Y56" i="23" s="1"/>
  <c r="R56" i="23"/>
  <c r="M56" i="23"/>
  <c r="N56" i="23" s="1"/>
  <c r="O56" i="23" s="1"/>
  <c r="G56" i="23"/>
  <c r="H56" i="23" s="1"/>
  <c r="I56" i="23" s="1"/>
  <c r="W55" i="23"/>
  <c r="X55" i="23" s="1"/>
  <c r="Y55" i="23" s="1"/>
  <c r="R55" i="23"/>
  <c r="M55" i="23"/>
  <c r="N55" i="23" s="1"/>
  <c r="O55" i="23" s="1"/>
  <c r="G55" i="23"/>
  <c r="H55" i="23" s="1"/>
  <c r="I55" i="23" s="1"/>
  <c r="W54" i="23"/>
  <c r="X54" i="23" s="1"/>
  <c r="Y54" i="23" s="1"/>
  <c r="R54" i="23"/>
  <c r="M54" i="23"/>
  <c r="N54" i="23" s="1"/>
  <c r="O54" i="23" s="1"/>
  <c r="G54" i="23"/>
  <c r="H54" i="23" s="1"/>
  <c r="I54" i="23" s="1"/>
  <c r="W53" i="23"/>
  <c r="X53" i="23" s="1"/>
  <c r="Y53" i="23" s="1"/>
  <c r="R53" i="23"/>
  <c r="M53" i="23"/>
  <c r="N53" i="23" s="1"/>
  <c r="O53" i="23" s="1"/>
  <c r="G53" i="23"/>
  <c r="H53" i="23" s="1"/>
  <c r="I53" i="23" s="1"/>
  <c r="W52" i="23"/>
  <c r="X52" i="23" s="1"/>
  <c r="Y52" i="23" s="1"/>
  <c r="R52" i="23"/>
  <c r="M52" i="23"/>
  <c r="N52" i="23" s="1"/>
  <c r="O52" i="23" s="1"/>
  <c r="G52" i="23"/>
  <c r="H52" i="23" s="1"/>
  <c r="I52" i="23" s="1"/>
  <c r="W51" i="23"/>
  <c r="X51" i="23" s="1"/>
  <c r="Y51" i="23" s="1"/>
  <c r="R51" i="23"/>
  <c r="M51" i="23"/>
  <c r="N51" i="23" s="1"/>
  <c r="O51" i="23" s="1"/>
  <c r="G51" i="23"/>
  <c r="H51" i="23" s="1"/>
  <c r="I51" i="23" s="1"/>
  <c r="W50" i="23"/>
  <c r="X50" i="23" s="1"/>
  <c r="Y50" i="23" s="1"/>
  <c r="R50" i="23"/>
  <c r="M50" i="23"/>
  <c r="N50" i="23" s="1"/>
  <c r="O50" i="23" s="1"/>
  <c r="G50" i="23"/>
  <c r="H50" i="23" s="1"/>
  <c r="I50" i="23" s="1"/>
  <c r="W49" i="23"/>
  <c r="X49" i="23" s="1"/>
  <c r="Y49" i="23" s="1"/>
  <c r="R49" i="23"/>
  <c r="M49" i="23"/>
  <c r="N49" i="23" s="1"/>
  <c r="O49" i="23" s="1"/>
  <c r="G49" i="23"/>
  <c r="H49" i="23" s="1"/>
  <c r="I49" i="23" s="1"/>
  <c r="W48" i="23"/>
  <c r="X48" i="23" s="1"/>
  <c r="Y48" i="23" s="1"/>
  <c r="R48" i="23"/>
  <c r="M48" i="23"/>
  <c r="N48" i="23" s="1"/>
  <c r="O48" i="23" s="1"/>
  <c r="G48" i="23"/>
  <c r="H48" i="23" s="1"/>
  <c r="I48" i="23" s="1"/>
  <c r="W47" i="23"/>
  <c r="X47" i="23" s="1"/>
  <c r="Y47" i="23" s="1"/>
  <c r="R47" i="23"/>
  <c r="M47" i="23"/>
  <c r="N47" i="23" s="1"/>
  <c r="O47" i="23" s="1"/>
  <c r="G47" i="23"/>
  <c r="H47" i="23" s="1"/>
  <c r="I47" i="23" s="1"/>
  <c r="W46" i="23"/>
  <c r="X46" i="23" s="1"/>
  <c r="Y46" i="23" s="1"/>
  <c r="R46" i="23"/>
  <c r="M46" i="23"/>
  <c r="N46" i="23" s="1"/>
  <c r="O46" i="23" s="1"/>
  <c r="G46" i="23"/>
  <c r="H46" i="23" s="1"/>
  <c r="I46" i="23" s="1"/>
  <c r="W45" i="23"/>
  <c r="X45" i="23" s="1"/>
  <c r="Y45" i="23" s="1"/>
  <c r="R45" i="23"/>
  <c r="M45" i="23"/>
  <c r="N45" i="23" s="1"/>
  <c r="O45" i="23" s="1"/>
  <c r="H45" i="23"/>
  <c r="I45" i="23" s="1"/>
  <c r="G45" i="23"/>
  <c r="W44" i="23"/>
  <c r="X44" i="23" s="1"/>
  <c r="Y44" i="23" s="1"/>
  <c r="R44" i="23"/>
  <c r="M44" i="23"/>
  <c r="N44" i="23" s="1"/>
  <c r="O44" i="23" s="1"/>
  <c r="G44" i="23"/>
  <c r="H44" i="23" s="1"/>
  <c r="I44" i="23" s="1"/>
  <c r="W43" i="23"/>
  <c r="X43" i="23" s="1"/>
  <c r="Y43" i="23" s="1"/>
  <c r="R43" i="23"/>
  <c r="M43" i="23"/>
  <c r="N43" i="23" s="1"/>
  <c r="O43" i="23" s="1"/>
  <c r="G43" i="23"/>
  <c r="H43" i="23" s="1"/>
  <c r="I43" i="23" s="1"/>
  <c r="W42" i="23"/>
  <c r="X42" i="23" s="1"/>
  <c r="Y42" i="23" s="1"/>
  <c r="R42" i="23"/>
  <c r="M42" i="23"/>
  <c r="N42" i="23" s="1"/>
  <c r="O42" i="23" s="1"/>
  <c r="G42" i="23"/>
  <c r="H42" i="23" s="1"/>
  <c r="I42" i="23" s="1"/>
  <c r="W41" i="23"/>
  <c r="X41" i="23" s="1"/>
  <c r="Y41" i="23" s="1"/>
  <c r="R41" i="23"/>
  <c r="M41" i="23"/>
  <c r="N41" i="23" s="1"/>
  <c r="O41" i="23" s="1"/>
  <c r="G41" i="23"/>
  <c r="H41" i="23" s="1"/>
  <c r="I41" i="23" s="1"/>
  <c r="W40" i="23"/>
  <c r="X40" i="23" s="1"/>
  <c r="Y40" i="23" s="1"/>
  <c r="R40" i="23"/>
  <c r="M40" i="23"/>
  <c r="N40" i="23" s="1"/>
  <c r="O40" i="23" s="1"/>
  <c r="G40" i="23"/>
  <c r="H40" i="23" s="1"/>
  <c r="I40" i="23" s="1"/>
  <c r="W39" i="23"/>
  <c r="X39" i="23" s="1"/>
  <c r="Y39" i="23" s="1"/>
  <c r="R39" i="23"/>
  <c r="M39" i="23"/>
  <c r="N39" i="23" s="1"/>
  <c r="O39" i="23" s="1"/>
  <c r="H39" i="23"/>
  <c r="I39" i="23" s="1"/>
  <c r="G39" i="23"/>
  <c r="W38" i="23"/>
  <c r="X38" i="23" s="1"/>
  <c r="Y38" i="23" s="1"/>
  <c r="R38" i="23"/>
  <c r="M38" i="23"/>
  <c r="N38" i="23" s="1"/>
  <c r="O38" i="23" s="1"/>
  <c r="G38" i="23"/>
  <c r="H38" i="23" s="1"/>
  <c r="I38" i="23" s="1"/>
  <c r="W37" i="23"/>
  <c r="X37" i="23" s="1"/>
  <c r="Y37" i="23" s="1"/>
  <c r="R37" i="23"/>
  <c r="M37" i="23"/>
  <c r="N37" i="23" s="1"/>
  <c r="O37" i="23" s="1"/>
  <c r="G37" i="23"/>
  <c r="H37" i="23" s="1"/>
  <c r="I37" i="23" s="1"/>
  <c r="W36" i="23"/>
  <c r="X36" i="23" s="1"/>
  <c r="Y36" i="23" s="1"/>
  <c r="R36" i="23"/>
  <c r="M36" i="23"/>
  <c r="N36" i="23" s="1"/>
  <c r="O36" i="23" s="1"/>
  <c r="G36" i="23"/>
  <c r="H36" i="23" s="1"/>
  <c r="I36" i="23" s="1"/>
  <c r="W35" i="23"/>
  <c r="X35" i="23" s="1"/>
  <c r="Y35" i="23" s="1"/>
  <c r="R35" i="23"/>
  <c r="N35" i="23"/>
  <c r="O35" i="23" s="1"/>
  <c r="M35" i="23"/>
  <c r="G35" i="23"/>
  <c r="H35" i="23" s="1"/>
  <c r="I35" i="23" s="1"/>
  <c r="W34" i="23"/>
  <c r="X34" i="23" s="1"/>
  <c r="Y34" i="23" s="1"/>
  <c r="R34" i="23"/>
  <c r="M34" i="23"/>
  <c r="N34" i="23" s="1"/>
  <c r="O34" i="23" s="1"/>
  <c r="G34" i="23"/>
  <c r="H34" i="23" s="1"/>
  <c r="I34" i="23" s="1"/>
  <c r="W33" i="23"/>
  <c r="X33" i="23" s="1"/>
  <c r="Y33" i="23" s="1"/>
  <c r="R33" i="23"/>
  <c r="M33" i="23"/>
  <c r="N33" i="23" s="1"/>
  <c r="O33" i="23" s="1"/>
  <c r="G33" i="23"/>
  <c r="H33" i="23" s="1"/>
  <c r="I33" i="23" s="1"/>
  <c r="W32" i="23"/>
  <c r="X32" i="23" s="1"/>
  <c r="Y32" i="23" s="1"/>
  <c r="R32" i="23"/>
  <c r="M32" i="23"/>
  <c r="N32" i="23" s="1"/>
  <c r="O32" i="23" s="1"/>
  <c r="G32" i="23"/>
  <c r="H32" i="23" s="1"/>
  <c r="I32" i="23" s="1"/>
  <c r="W31" i="23"/>
  <c r="X31" i="23" s="1"/>
  <c r="Y31" i="23" s="1"/>
  <c r="R31" i="23"/>
  <c r="M31" i="23"/>
  <c r="N31" i="23" s="1"/>
  <c r="O31" i="23" s="1"/>
  <c r="G31" i="23"/>
  <c r="H31" i="23" s="1"/>
  <c r="I31" i="23" s="1"/>
  <c r="W30" i="23"/>
  <c r="X30" i="23" s="1"/>
  <c r="Y30" i="23" s="1"/>
  <c r="R30" i="23"/>
  <c r="M30" i="23"/>
  <c r="N30" i="23" s="1"/>
  <c r="O30" i="23" s="1"/>
  <c r="G30" i="23"/>
  <c r="H30" i="23" s="1"/>
  <c r="I30" i="23" s="1"/>
  <c r="W29" i="23"/>
  <c r="X29" i="23" s="1"/>
  <c r="Y29" i="23" s="1"/>
  <c r="R29" i="23"/>
  <c r="M29" i="23"/>
  <c r="N29" i="23" s="1"/>
  <c r="O29" i="23" s="1"/>
  <c r="G29" i="23"/>
  <c r="H29" i="23" s="1"/>
  <c r="I29" i="23" s="1"/>
  <c r="W28" i="23"/>
  <c r="X28" i="23" s="1"/>
  <c r="Y28" i="23" s="1"/>
  <c r="R28" i="23"/>
  <c r="M28" i="23"/>
  <c r="N28" i="23" s="1"/>
  <c r="O28" i="23" s="1"/>
  <c r="G28" i="23"/>
  <c r="H28" i="23" s="1"/>
  <c r="I28" i="23" s="1"/>
  <c r="W27" i="23"/>
  <c r="X27" i="23" s="1"/>
  <c r="Y27" i="23" s="1"/>
  <c r="R27" i="23"/>
  <c r="M27" i="23"/>
  <c r="N27" i="23" s="1"/>
  <c r="O27" i="23" s="1"/>
  <c r="G27" i="23"/>
  <c r="H27" i="23" s="1"/>
  <c r="I27" i="23" s="1"/>
  <c r="W26" i="23"/>
  <c r="X26" i="23" s="1"/>
  <c r="Y26" i="23" s="1"/>
  <c r="R26" i="23"/>
  <c r="M26" i="23"/>
  <c r="N26" i="23" s="1"/>
  <c r="O26" i="23" s="1"/>
  <c r="G26" i="23"/>
  <c r="H26" i="23" s="1"/>
  <c r="I26" i="23" s="1"/>
  <c r="W25" i="23"/>
  <c r="X25" i="23" s="1"/>
  <c r="Y25" i="23" s="1"/>
  <c r="R25" i="23"/>
  <c r="M25" i="23"/>
  <c r="N25" i="23" s="1"/>
  <c r="O25" i="23" s="1"/>
  <c r="G25" i="23"/>
  <c r="H25" i="23" s="1"/>
  <c r="I25" i="23" s="1"/>
  <c r="W24" i="23"/>
  <c r="X24" i="23" s="1"/>
  <c r="Y24" i="23" s="1"/>
  <c r="R24" i="23"/>
  <c r="M24" i="23"/>
  <c r="N24" i="23" s="1"/>
  <c r="O24" i="23" s="1"/>
  <c r="G24" i="23"/>
  <c r="H24" i="23" s="1"/>
  <c r="I24" i="23" s="1"/>
  <c r="W23" i="23"/>
  <c r="X23" i="23" s="1"/>
  <c r="Y23" i="23" s="1"/>
  <c r="R23" i="23"/>
  <c r="M23" i="23"/>
  <c r="N23" i="23" s="1"/>
  <c r="O23" i="23" s="1"/>
  <c r="G23" i="23"/>
  <c r="H23" i="23" s="1"/>
  <c r="I23" i="23" s="1"/>
  <c r="W22" i="23"/>
  <c r="X22" i="23" s="1"/>
  <c r="Y22" i="23" s="1"/>
  <c r="R22" i="23"/>
  <c r="M22" i="23"/>
  <c r="N22" i="23" s="1"/>
  <c r="O22" i="23" s="1"/>
  <c r="G22" i="23"/>
  <c r="H22" i="23" s="1"/>
  <c r="I22" i="23" s="1"/>
  <c r="W21" i="23"/>
  <c r="X21" i="23" s="1"/>
  <c r="Y21" i="23" s="1"/>
  <c r="R21" i="23"/>
  <c r="M21" i="23"/>
  <c r="N21" i="23" s="1"/>
  <c r="O21" i="23" s="1"/>
  <c r="G21" i="23"/>
  <c r="H21" i="23" s="1"/>
  <c r="I21" i="23" s="1"/>
  <c r="W20" i="23"/>
  <c r="X20" i="23" s="1"/>
  <c r="Y20" i="23" s="1"/>
  <c r="R20" i="23"/>
  <c r="M20" i="23"/>
  <c r="N20" i="23" s="1"/>
  <c r="O20" i="23" s="1"/>
  <c r="G20" i="23"/>
  <c r="H20" i="23" s="1"/>
  <c r="I20" i="23" s="1"/>
  <c r="W19" i="23"/>
  <c r="X19" i="23" s="1"/>
  <c r="Y19" i="23" s="1"/>
  <c r="R19" i="23"/>
  <c r="M19" i="23"/>
  <c r="N19" i="23" s="1"/>
  <c r="O19" i="23" s="1"/>
  <c r="G19" i="23"/>
  <c r="H19" i="23" s="1"/>
  <c r="I19" i="23" s="1"/>
  <c r="W18" i="23"/>
  <c r="X18" i="23" s="1"/>
  <c r="Y18" i="23" s="1"/>
  <c r="R18" i="23"/>
  <c r="M18" i="23"/>
  <c r="N18" i="23" s="1"/>
  <c r="O18" i="23" s="1"/>
  <c r="G18" i="23"/>
  <c r="H18" i="23" s="1"/>
  <c r="I18" i="23" s="1"/>
  <c r="W17" i="23"/>
  <c r="X17" i="23" s="1"/>
  <c r="Y17" i="23" s="1"/>
  <c r="R17" i="23"/>
  <c r="M17" i="23"/>
  <c r="N17" i="23" s="1"/>
  <c r="O17" i="23" s="1"/>
  <c r="G17" i="23"/>
  <c r="H17" i="23" s="1"/>
  <c r="I17" i="23" s="1"/>
  <c r="W16" i="23"/>
  <c r="X16" i="23" s="1"/>
  <c r="Y16" i="23" s="1"/>
  <c r="R16" i="23"/>
  <c r="M16" i="23"/>
  <c r="N16" i="23" s="1"/>
  <c r="O16" i="23" s="1"/>
  <c r="G16" i="23"/>
  <c r="H16" i="23" s="1"/>
  <c r="I16" i="23" s="1"/>
  <c r="W15" i="23"/>
  <c r="X15" i="23" s="1"/>
  <c r="Y15" i="23" s="1"/>
  <c r="R15" i="23"/>
  <c r="M15" i="23"/>
  <c r="N15" i="23" s="1"/>
  <c r="O15" i="23" s="1"/>
  <c r="G15" i="23"/>
  <c r="H15" i="23" s="1"/>
  <c r="I15" i="23" s="1"/>
  <c r="W14" i="23"/>
  <c r="X14" i="23" s="1"/>
  <c r="Y14" i="23" s="1"/>
  <c r="R14" i="23"/>
  <c r="M14" i="23"/>
  <c r="N14" i="23" s="1"/>
  <c r="O14" i="23" s="1"/>
  <c r="G14" i="23"/>
  <c r="H14" i="23" s="1"/>
  <c r="I14" i="23" s="1"/>
  <c r="W13" i="23"/>
  <c r="X13" i="23" s="1"/>
  <c r="Y13" i="23" s="1"/>
  <c r="R13" i="23"/>
  <c r="M13" i="23"/>
  <c r="N13" i="23" s="1"/>
  <c r="O13" i="23" s="1"/>
  <c r="G13" i="23"/>
  <c r="H13" i="23" s="1"/>
  <c r="I13" i="23" s="1"/>
  <c r="S22" i="26" l="1"/>
  <c r="Z22" i="26" s="1"/>
  <c r="S29" i="25"/>
  <c r="S33" i="25"/>
  <c r="Z33" i="25" s="1"/>
  <c r="S21" i="25"/>
  <c r="Z21" i="25" s="1"/>
  <c r="S28" i="23"/>
  <c r="S24" i="23"/>
  <c r="Z24" i="23" s="1"/>
  <c r="S47" i="27"/>
  <c r="Z47" i="27" s="1"/>
  <c r="S51" i="27"/>
  <c r="Z51" i="27" s="1"/>
  <c r="S55" i="27"/>
  <c r="S57" i="27"/>
  <c r="Z57" i="27" s="1"/>
  <c r="S45" i="27"/>
  <c r="Z45" i="27" s="1"/>
  <c r="S24" i="26"/>
  <c r="Z24" i="26" s="1"/>
  <c r="S20" i="26"/>
  <c r="Z20" i="26" s="1"/>
  <c r="S37" i="24"/>
  <c r="Z37" i="24" s="1"/>
  <c r="S45" i="24"/>
  <c r="Z45" i="24" s="1"/>
  <c r="S53" i="24"/>
  <c r="Z53" i="24" s="1"/>
  <c r="S13" i="24"/>
  <c r="Z13" i="24" s="1"/>
  <c r="S18" i="24"/>
  <c r="Z18" i="24" s="1"/>
  <c r="S22" i="24"/>
  <c r="Z22" i="24" s="1"/>
  <c r="S29" i="24"/>
  <c r="Z29" i="24" s="1"/>
  <c r="S34" i="24"/>
  <c r="Z34" i="24" s="1"/>
  <c r="S42" i="24"/>
  <c r="Z42" i="24" s="1"/>
  <c r="S50" i="24"/>
  <c r="Z50" i="24" s="1"/>
  <c r="S35" i="26"/>
  <c r="Z35" i="26" s="1"/>
  <c r="S46" i="26"/>
  <c r="S42" i="26"/>
  <c r="Z42" i="26" s="1"/>
  <c r="S39" i="26"/>
  <c r="Z39" i="26" s="1"/>
  <c r="S25" i="25"/>
  <c r="Z25" i="25" s="1"/>
  <c r="S41" i="25"/>
  <c r="Z41" i="25" s="1"/>
  <c r="Z29" i="25"/>
  <c r="S51" i="25"/>
  <c r="Z51" i="25" s="1"/>
  <c r="S52" i="25"/>
  <c r="Z52" i="25" s="1"/>
  <c r="S16" i="25"/>
  <c r="Z16" i="25" s="1"/>
  <c r="S20" i="25"/>
  <c r="Z20" i="25" s="1"/>
  <c r="S28" i="25"/>
  <c r="Z28" i="25" s="1"/>
  <c r="S36" i="25"/>
  <c r="Z36" i="25" s="1"/>
  <c r="S44" i="25"/>
  <c r="Z44" i="25" s="1"/>
  <c r="S47" i="25"/>
  <c r="Z47" i="25" s="1"/>
  <c r="S13" i="25"/>
  <c r="Z13" i="25" s="1"/>
  <c r="S17" i="25"/>
  <c r="Z17" i="25" s="1"/>
  <c r="S23" i="25"/>
  <c r="Z23" i="25" s="1"/>
  <c r="S26" i="25"/>
  <c r="Z26" i="25" s="1"/>
  <c r="S31" i="25"/>
  <c r="Z31" i="25" s="1"/>
  <c r="S34" i="25"/>
  <c r="Z34" i="25" s="1"/>
  <c r="S39" i="25"/>
  <c r="Z39" i="25" s="1"/>
  <c r="S42" i="25"/>
  <c r="Z42" i="25" s="1"/>
  <c r="S48" i="25"/>
  <c r="Z48" i="25" s="1"/>
  <c r="S25" i="24"/>
  <c r="S19" i="24"/>
  <c r="Z19" i="24" s="1"/>
  <c r="S20" i="24"/>
  <c r="Z20" i="24" s="1"/>
  <c r="S21" i="24"/>
  <c r="Z21" i="24" s="1"/>
  <c r="S23" i="24"/>
  <c r="Z23" i="24" s="1"/>
  <c r="S32" i="24"/>
  <c r="Z32" i="24" s="1"/>
  <c r="S35" i="24"/>
  <c r="Z35" i="24" s="1"/>
  <c r="S40" i="24"/>
  <c r="Z40" i="24" s="1"/>
  <c r="S43" i="24"/>
  <c r="Z43" i="24" s="1"/>
  <c r="S48" i="24"/>
  <c r="Z48" i="24" s="1"/>
  <c r="S51" i="24"/>
  <c r="Z51" i="24" s="1"/>
  <c r="S57" i="24"/>
  <c r="Z57" i="24" s="1"/>
  <c r="S58" i="24"/>
  <c r="Z58" i="24" s="1"/>
  <c r="S59" i="24"/>
  <c r="Z59" i="24" s="1"/>
  <c r="S61" i="24"/>
  <c r="Z61" i="24" s="1"/>
  <c r="S62" i="24"/>
  <c r="Z62" i="24" s="1"/>
  <c r="S14" i="24"/>
  <c r="Z14" i="24" s="1"/>
  <c r="S24" i="24"/>
  <c r="Z24" i="24" s="1"/>
  <c r="S26" i="24"/>
  <c r="Z26" i="24" s="1"/>
  <c r="S28" i="24"/>
  <c r="Z28" i="24" s="1"/>
  <c r="S30" i="24"/>
  <c r="Z30" i="24" s="1"/>
  <c r="S33" i="24"/>
  <c r="Z33" i="24" s="1"/>
  <c r="S38" i="24"/>
  <c r="Z38" i="24" s="1"/>
  <c r="S41" i="24"/>
  <c r="Z41" i="24" s="1"/>
  <c r="S46" i="24"/>
  <c r="Z46" i="24" s="1"/>
  <c r="S49" i="24"/>
  <c r="Z49" i="24" s="1"/>
  <c r="S55" i="24"/>
  <c r="Z55" i="24" s="1"/>
  <c r="S56" i="24"/>
  <c r="Z56" i="24" s="1"/>
  <c r="S60" i="24"/>
  <c r="Z60" i="24" s="1"/>
  <c r="S31" i="24"/>
  <c r="Z31" i="24" s="1"/>
  <c r="S36" i="24"/>
  <c r="Z36" i="24" s="1"/>
  <c r="S39" i="24"/>
  <c r="Z39" i="24" s="1"/>
  <c r="S44" i="24"/>
  <c r="Z44" i="24" s="1"/>
  <c r="S47" i="24"/>
  <c r="Z47" i="24" s="1"/>
  <c r="S52" i="24"/>
  <c r="Z52" i="24" s="1"/>
  <c r="Z25" i="24"/>
  <c r="S22" i="23"/>
  <c r="Z22" i="23" s="1"/>
  <c r="S26" i="23"/>
  <c r="Z26" i="23" s="1"/>
  <c r="S30" i="23"/>
  <c r="Z30" i="23" s="1"/>
  <c r="S20" i="23"/>
  <c r="Z20" i="23" s="1"/>
  <c r="S27" i="23"/>
  <c r="Z27" i="23" s="1"/>
  <c r="S31" i="23"/>
  <c r="Z31" i="23" s="1"/>
  <c r="S25" i="23"/>
  <c r="Z25" i="23" s="1"/>
  <c r="S23" i="23"/>
  <c r="Z23" i="23" s="1"/>
  <c r="S36" i="23"/>
  <c r="Z36" i="23" s="1"/>
  <c r="S21" i="23"/>
  <c r="Z21" i="23" s="1"/>
  <c r="S29" i="23"/>
  <c r="S33" i="23"/>
  <c r="Z33" i="23" s="1"/>
  <c r="S38" i="23"/>
  <c r="Z38" i="23" s="1"/>
  <c r="S32" i="23"/>
  <c r="Z32" i="23" s="1"/>
  <c r="S35" i="23"/>
  <c r="Z35" i="23" s="1"/>
  <c r="S34" i="23"/>
  <c r="Z34" i="23" s="1"/>
  <c r="S37" i="23"/>
  <c r="Z37" i="23" s="1"/>
  <c r="S19" i="23"/>
  <c r="Z19" i="23" s="1"/>
  <c r="S18" i="23"/>
  <c r="Z18" i="23" s="1"/>
  <c r="S17" i="23"/>
  <c r="Z17" i="23" s="1"/>
  <c r="Z28" i="23"/>
  <c r="Z29" i="23"/>
  <c r="Z55" i="27"/>
  <c r="S26" i="27"/>
  <c r="Z26" i="27" s="1"/>
  <c r="S49" i="27"/>
  <c r="Z49" i="27" s="1"/>
  <c r="S22" i="27"/>
  <c r="Z22" i="27" s="1"/>
  <c r="S38" i="27"/>
  <c r="Z38" i="27" s="1"/>
  <c r="S33" i="27"/>
  <c r="Z33" i="27" s="1"/>
  <c r="S35" i="27"/>
  <c r="Z35" i="27" s="1"/>
  <c r="S39" i="27"/>
  <c r="Z39" i="27" s="1"/>
  <c r="S62" i="27"/>
  <c r="Z62" i="27" s="1"/>
  <c r="S27" i="27"/>
  <c r="Z27" i="27" s="1"/>
  <c r="S32" i="27"/>
  <c r="Z32" i="27" s="1"/>
  <c r="S52" i="27"/>
  <c r="Z52" i="27" s="1"/>
  <c r="S56" i="27"/>
  <c r="Z56" i="27" s="1"/>
  <c r="S60" i="27"/>
  <c r="Z60" i="27" s="1"/>
  <c r="S25" i="27"/>
  <c r="Z25" i="27" s="1"/>
  <c r="S28" i="27"/>
  <c r="Z28" i="27" s="1"/>
  <c r="S29" i="27"/>
  <c r="Z29" i="27" s="1"/>
  <c r="S30" i="27"/>
  <c r="Z30" i="27" s="1"/>
  <c r="S41" i="27"/>
  <c r="Z41" i="27" s="1"/>
  <c r="S44" i="27"/>
  <c r="Z44" i="27" s="1"/>
  <c r="S48" i="27"/>
  <c r="Z48" i="27" s="1"/>
  <c r="S61" i="27"/>
  <c r="Z61" i="27" s="1"/>
  <c r="S25" i="26"/>
  <c r="Z25" i="26" s="1"/>
  <c r="S28" i="26"/>
  <c r="Z28" i="26" s="1"/>
  <c r="S21" i="26"/>
  <c r="Z21" i="26" s="1"/>
  <c r="S23" i="26"/>
  <c r="Z23" i="26" s="1"/>
  <c r="S29" i="26"/>
  <c r="Z29" i="26" s="1"/>
  <c r="S26" i="26"/>
  <c r="S27" i="26"/>
  <c r="Z27" i="26" s="1"/>
  <c r="S30" i="26"/>
  <c r="Z30" i="26" s="1"/>
  <c r="S36" i="26"/>
  <c r="Z36" i="26" s="1"/>
  <c r="S40" i="26"/>
  <c r="Z40" i="26" s="1"/>
  <c r="S43" i="26"/>
  <c r="Z43" i="26" s="1"/>
  <c r="S47" i="26"/>
  <c r="Z47" i="26" s="1"/>
  <c r="S50" i="26"/>
  <c r="Z50" i="26" s="1"/>
  <c r="S54" i="26"/>
  <c r="Z54" i="26" s="1"/>
  <c r="S58" i="26"/>
  <c r="Z58" i="26" s="1"/>
  <c r="S44" i="26"/>
  <c r="Z44" i="26" s="1"/>
  <c r="S48" i="26"/>
  <c r="Z48" i="26" s="1"/>
  <c r="S51" i="26"/>
  <c r="Z51" i="26" s="1"/>
  <c r="S55" i="26"/>
  <c r="Z55" i="26" s="1"/>
  <c r="S59" i="26"/>
  <c r="Z59" i="26" s="1"/>
  <c r="S60" i="26"/>
  <c r="Z60" i="26" s="1"/>
  <c r="S13" i="26"/>
  <c r="Z13" i="26" s="1"/>
  <c r="S14" i="26"/>
  <c r="Z14" i="26" s="1"/>
  <c r="S15" i="26"/>
  <c r="Z15" i="26" s="1"/>
  <c r="S16" i="26"/>
  <c r="Z16" i="26" s="1"/>
  <c r="S17" i="26"/>
  <c r="Z17" i="26" s="1"/>
  <c r="S18" i="26"/>
  <c r="Z18" i="26" s="1"/>
  <c r="S19" i="26"/>
  <c r="Z19" i="26" s="1"/>
  <c r="S33" i="26"/>
  <c r="Z33" i="26" s="1"/>
  <c r="S38" i="26"/>
  <c r="Z38" i="26" s="1"/>
  <c r="S52" i="26"/>
  <c r="S56" i="26"/>
  <c r="Z56" i="26" s="1"/>
  <c r="Z26" i="26"/>
  <c r="Z52" i="26"/>
  <c r="Z46" i="26"/>
  <c r="S14" i="27"/>
  <c r="Z14" i="27" s="1"/>
  <c r="S18" i="27"/>
  <c r="Z18" i="27" s="1"/>
  <c r="S13" i="27"/>
  <c r="Z13" i="27" s="1"/>
  <c r="S17" i="27"/>
  <c r="Z17" i="27" s="1"/>
  <c r="S31" i="27"/>
  <c r="Z31" i="27" s="1"/>
  <c r="S40" i="27"/>
  <c r="Z40" i="27" s="1"/>
  <c r="S16" i="27"/>
  <c r="Z16" i="27" s="1"/>
  <c r="S20" i="27"/>
  <c r="Z20" i="27" s="1"/>
  <c r="S21" i="27"/>
  <c r="Z21" i="27" s="1"/>
  <c r="S23" i="27"/>
  <c r="Z23" i="27" s="1"/>
  <c r="S24" i="27"/>
  <c r="Z24" i="27" s="1"/>
  <c r="S34" i="27"/>
  <c r="Z34" i="27" s="1"/>
  <c r="S36" i="27"/>
  <c r="Z36" i="27" s="1"/>
  <c r="S37" i="27"/>
  <c r="Z37" i="27" s="1"/>
  <c r="S43" i="27"/>
  <c r="Z43" i="27" s="1"/>
  <c r="S53" i="27"/>
  <c r="Z53" i="27" s="1"/>
  <c r="S59" i="27"/>
  <c r="Z59" i="27" s="1"/>
  <c r="S15" i="27"/>
  <c r="Z15" i="27" s="1"/>
  <c r="S19" i="27"/>
  <c r="Z19" i="27" s="1"/>
  <c r="S42" i="27"/>
  <c r="Z42" i="27" s="1"/>
  <c r="S46" i="27"/>
  <c r="Z46" i="27" s="1"/>
  <c r="S50" i="27"/>
  <c r="Z50" i="27" s="1"/>
  <c r="S54" i="27"/>
  <c r="Z54" i="27" s="1"/>
  <c r="S58" i="27"/>
  <c r="Z58" i="27" s="1"/>
  <c r="S31" i="26"/>
  <c r="Z31" i="26" s="1"/>
  <c r="S41" i="26"/>
  <c r="Z41" i="26" s="1"/>
  <c r="S49" i="26"/>
  <c r="Z49" i="26" s="1"/>
  <c r="S57" i="26"/>
  <c r="Z57" i="26" s="1"/>
  <c r="S32" i="26"/>
  <c r="Z32" i="26" s="1"/>
  <c r="S34" i="26"/>
  <c r="Z34" i="26" s="1"/>
  <c r="S37" i="26"/>
  <c r="Z37" i="26" s="1"/>
  <c r="S45" i="26"/>
  <c r="Z45" i="26" s="1"/>
  <c r="S53" i="26"/>
  <c r="Z53" i="26" s="1"/>
  <c r="S61" i="26"/>
  <c r="Z61" i="26" s="1"/>
  <c r="S62" i="26"/>
  <c r="Z62" i="26" s="1"/>
  <c r="S14" i="25"/>
  <c r="Z14" i="25" s="1"/>
  <c r="S18" i="25"/>
  <c r="Z18" i="25" s="1"/>
  <c r="S24" i="25"/>
  <c r="Z24" i="25" s="1"/>
  <c r="S32" i="25"/>
  <c r="Z32" i="25" s="1"/>
  <c r="S37" i="25"/>
  <c r="Z37" i="25" s="1"/>
  <c r="S40" i="25"/>
  <c r="Z40" i="25" s="1"/>
  <c r="S45" i="25"/>
  <c r="Z45" i="25" s="1"/>
  <c r="S46" i="25"/>
  <c r="Z46" i="25" s="1"/>
  <c r="S15" i="25"/>
  <c r="Z15" i="25" s="1"/>
  <c r="S19" i="25"/>
  <c r="Z19" i="25" s="1"/>
  <c r="S22" i="25"/>
  <c r="Z22" i="25" s="1"/>
  <c r="S27" i="25"/>
  <c r="Z27" i="25" s="1"/>
  <c r="S30" i="25"/>
  <c r="Z30" i="25" s="1"/>
  <c r="S35" i="25"/>
  <c r="Z35" i="25" s="1"/>
  <c r="S38" i="25"/>
  <c r="Z38" i="25" s="1"/>
  <c r="S43" i="25"/>
  <c r="Z43" i="25" s="1"/>
  <c r="S49" i="25"/>
  <c r="Z49" i="25" s="1"/>
  <c r="S55" i="25"/>
  <c r="Z55" i="25" s="1"/>
  <c r="S59" i="25"/>
  <c r="Z59" i="25" s="1"/>
  <c r="S50" i="25"/>
  <c r="Z50" i="25" s="1"/>
  <c r="S56" i="25"/>
  <c r="Z56" i="25" s="1"/>
  <c r="S60" i="25"/>
  <c r="Z60" i="25" s="1"/>
  <c r="S54" i="25"/>
  <c r="Z54" i="25" s="1"/>
  <c r="S58" i="25"/>
  <c r="Z58" i="25" s="1"/>
  <c r="S62" i="25"/>
  <c r="Z62" i="25" s="1"/>
  <c r="S53" i="25"/>
  <c r="Z53" i="25" s="1"/>
  <c r="S57" i="25"/>
  <c r="Z57" i="25" s="1"/>
  <c r="S61" i="25"/>
  <c r="Z61" i="25" s="1"/>
  <c r="S15" i="24"/>
  <c r="Z15" i="24" s="1"/>
  <c r="S16" i="24"/>
  <c r="Z16" i="24" s="1"/>
  <c r="S17" i="24"/>
  <c r="Z17" i="24" s="1"/>
  <c r="S27" i="24"/>
  <c r="Z27" i="24" s="1"/>
  <c r="S54" i="24"/>
  <c r="Z54" i="24" s="1"/>
  <c r="S13" i="23"/>
  <c r="Z13" i="23" s="1"/>
  <c r="S14" i="23"/>
  <c r="Z14" i="23" s="1"/>
  <c r="S15" i="23"/>
  <c r="Z15" i="23" s="1"/>
  <c r="S16" i="23"/>
  <c r="Z16" i="23" s="1"/>
  <c r="S52" i="23"/>
  <c r="Z52" i="23" s="1"/>
  <c r="S39" i="23"/>
  <c r="Z39" i="23" s="1"/>
  <c r="S40" i="23"/>
  <c r="Z40" i="23" s="1"/>
  <c r="S41" i="23"/>
  <c r="Z41" i="23" s="1"/>
  <c r="S42" i="23"/>
  <c r="Z42" i="23" s="1"/>
  <c r="S43" i="23"/>
  <c r="Z43" i="23" s="1"/>
  <c r="S44" i="23"/>
  <c r="Z44" i="23" s="1"/>
  <c r="S45" i="23"/>
  <c r="Z45" i="23" s="1"/>
  <c r="S46" i="23"/>
  <c r="Z46" i="23" s="1"/>
  <c r="S47" i="23"/>
  <c r="Z47" i="23" s="1"/>
  <c r="S48" i="23"/>
  <c r="Z48" i="23" s="1"/>
  <c r="S49" i="23"/>
  <c r="Z49" i="23" s="1"/>
  <c r="S50" i="23"/>
  <c r="Z50" i="23" s="1"/>
  <c r="S51" i="23"/>
  <c r="Z51" i="23" s="1"/>
  <c r="S55" i="23"/>
  <c r="Z55" i="23" s="1"/>
  <c r="S59" i="23"/>
  <c r="Z59" i="23" s="1"/>
  <c r="S56" i="23"/>
  <c r="Z56" i="23" s="1"/>
  <c r="S60" i="23"/>
  <c r="Z60" i="23" s="1"/>
  <c r="S54" i="23"/>
  <c r="Z54" i="23" s="1"/>
  <c r="S58" i="23"/>
  <c r="Z58" i="23" s="1"/>
  <c r="S62" i="23"/>
  <c r="Z62" i="23" s="1"/>
  <c r="S53" i="23"/>
  <c r="Z53" i="23" s="1"/>
  <c r="S57" i="23"/>
  <c r="Z57" i="23" s="1"/>
  <c r="S61" i="23"/>
  <c r="Z61" i="23" s="1"/>
  <c r="R13" i="17"/>
  <c r="R14" i="17" l="1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W14" i="17"/>
  <c r="X14" i="17" s="1"/>
  <c r="Y14" i="17" s="1"/>
  <c r="W15" i="17"/>
  <c r="X15" i="17" s="1"/>
  <c r="Y15" i="17" s="1"/>
  <c r="W16" i="17"/>
  <c r="X16" i="17" s="1"/>
  <c r="Y16" i="17" s="1"/>
  <c r="W17" i="17"/>
  <c r="X17" i="17" s="1"/>
  <c r="Y17" i="17" s="1"/>
  <c r="W18" i="17"/>
  <c r="X18" i="17" s="1"/>
  <c r="Y18" i="17" s="1"/>
  <c r="W19" i="17"/>
  <c r="X19" i="17" s="1"/>
  <c r="Y19" i="17" s="1"/>
  <c r="W20" i="17"/>
  <c r="X20" i="17" s="1"/>
  <c r="Y20" i="17" s="1"/>
  <c r="W21" i="17"/>
  <c r="X21" i="17" s="1"/>
  <c r="Y21" i="17" s="1"/>
  <c r="W22" i="17"/>
  <c r="X22" i="17" s="1"/>
  <c r="Y22" i="17" s="1"/>
  <c r="W23" i="17"/>
  <c r="X23" i="17" s="1"/>
  <c r="Y23" i="17" s="1"/>
  <c r="W24" i="17"/>
  <c r="X24" i="17" s="1"/>
  <c r="Y24" i="17" s="1"/>
  <c r="W25" i="17"/>
  <c r="X25" i="17" s="1"/>
  <c r="Y25" i="17" s="1"/>
  <c r="W26" i="17"/>
  <c r="X26" i="17" s="1"/>
  <c r="Y26" i="17" s="1"/>
  <c r="W27" i="17"/>
  <c r="X27" i="17" s="1"/>
  <c r="Y27" i="17" s="1"/>
  <c r="W28" i="17"/>
  <c r="X28" i="17" s="1"/>
  <c r="Y28" i="17" s="1"/>
  <c r="W29" i="17"/>
  <c r="X29" i="17" s="1"/>
  <c r="Y29" i="17" s="1"/>
  <c r="W30" i="17"/>
  <c r="X30" i="17" s="1"/>
  <c r="Y30" i="17" s="1"/>
  <c r="W31" i="17"/>
  <c r="X31" i="17" s="1"/>
  <c r="Y31" i="17" s="1"/>
  <c r="W32" i="17"/>
  <c r="X32" i="17" s="1"/>
  <c r="Y32" i="17" s="1"/>
  <c r="W33" i="17"/>
  <c r="X33" i="17" s="1"/>
  <c r="Y33" i="17" s="1"/>
  <c r="W34" i="17"/>
  <c r="X34" i="17" s="1"/>
  <c r="Y34" i="17" s="1"/>
  <c r="W35" i="17"/>
  <c r="X35" i="17" s="1"/>
  <c r="Y35" i="17" s="1"/>
  <c r="W36" i="17"/>
  <c r="X36" i="17" s="1"/>
  <c r="Y36" i="17" s="1"/>
  <c r="W37" i="17"/>
  <c r="X37" i="17" s="1"/>
  <c r="Y37" i="17" s="1"/>
  <c r="W38" i="17"/>
  <c r="X38" i="17" s="1"/>
  <c r="Y38" i="17" s="1"/>
  <c r="W39" i="17"/>
  <c r="X39" i="17" s="1"/>
  <c r="Y39" i="17" s="1"/>
  <c r="W40" i="17"/>
  <c r="X40" i="17" s="1"/>
  <c r="Y40" i="17" s="1"/>
  <c r="W41" i="17"/>
  <c r="X41" i="17" s="1"/>
  <c r="Y41" i="17" s="1"/>
  <c r="W42" i="17"/>
  <c r="X42" i="17" s="1"/>
  <c r="Y42" i="17" s="1"/>
  <c r="W43" i="17"/>
  <c r="X43" i="17" s="1"/>
  <c r="Y43" i="17" s="1"/>
  <c r="W44" i="17"/>
  <c r="X44" i="17" s="1"/>
  <c r="Y44" i="17" s="1"/>
  <c r="W45" i="17"/>
  <c r="X45" i="17" s="1"/>
  <c r="Y45" i="17" s="1"/>
  <c r="W46" i="17"/>
  <c r="X46" i="17" s="1"/>
  <c r="Y46" i="17" s="1"/>
  <c r="W47" i="17"/>
  <c r="X47" i="17" s="1"/>
  <c r="Y47" i="17" s="1"/>
  <c r="W48" i="17"/>
  <c r="X48" i="17" s="1"/>
  <c r="Y48" i="17" s="1"/>
  <c r="W49" i="17"/>
  <c r="X49" i="17" s="1"/>
  <c r="Y49" i="17" s="1"/>
  <c r="W50" i="17"/>
  <c r="X50" i="17" s="1"/>
  <c r="Y50" i="17" s="1"/>
  <c r="W51" i="17"/>
  <c r="X51" i="17" s="1"/>
  <c r="Y51" i="17" s="1"/>
  <c r="W52" i="17"/>
  <c r="X52" i="17" s="1"/>
  <c r="Y52" i="17" s="1"/>
  <c r="W53" i="17"/>
  <c r="X53" i="17" s="1"/>
  <c r="Y53" i="17" s="1"/>
  <c r="W54" i="17"/>
  <c r="X54" i="17" s="1"/>
  <c r="Y54" i="17" s="1"/>
  <c r="W55" i="17"/>
  <c r="X55" i="17" s="1"/>
  <c r="Y55" i="17" s="1"/>
  <c r="W56" i="17"/>
  <c r="X56" i="17" s="1"/>
  <c r="Y56" i="17" s="1"/>
  <c r="W57" i="17"/>
  <c r="X57" i="17" s="1"/>
  <c r="Y57" i="17" s="1"/>
  <c r="W58" i="17"/>
  <c r="X58" i="17" s="1"/>
  <c r="Y58" i="17" s="1"/>
  <c r="W59" i="17"/>
  <c r="X59" i="17" s="1"/>
  <c r="Y59" i="17" s="1"/>
  <c r="W60" i="17"/>
  <c r="X60" i="17" s="1"/>
  <c r="Y60" i="17" s="1"/>
  <c r="W61" i="17"/>
  <c r="X61" i="17" s="1"/>
  <c r="Y61" i="17" s="1"/>
  <c r="W62" i="17"/>
  <c r="X62" i="17" s="1"/>
  <c r="Y62" i="17" s="1"/>
  <c r="M14" i="17"/>
  <c r="N14" i="17" s="1"/>
  <c r="O14" i="17" s="1"/>
  <c r="M15" i="17"/>
  <c r="N15" i="17" s="1"/>
  <c r="O15" i="17" s="1"/>
  <c r="M16" i="17"/>
  <c r="N16" i="17" s="1"/>
  <c r="O16" i="17" s="1"/>
  <c r="M17" i="17"/>
  <c r="N17" i="17" s="1"/>
  <c r="O17" i="17" s="1"/>
  <c r="M18" i="17"/>
  <c r="N18" i="17" s="1"/>
  <c r="O18" i="17" s="1"/>
  <c r="M19" i="17"/>
  <c r="N19" i="17" s="1"/>
  <c r="O19" i="17" s="1"/>
  <c r="M20" i="17"/>
  <c r="N20" i="17" s="1"/>
  <c r="O20" i="17" s="1"/>
  <c r="S20" i="17" s="1"/>
  <c r="M21" i="17"/>
  <c r="N21" i="17" s="1"/>
  <c r="O21" i="17" s="1"/>
  <c r="S21" i="17" s="1"/>
  <c r="Z21" i="17" s="1"/>
  <c r="M22" i="17"/>
  <c r="N22" i="17" s="1"/>
  <c r="O22" i="17" s="1"/>
  <c r="M23" i="17"/>
  <c r="N23" i="17" s="1"/>
  <c r="O23" i="17" s="1"/>
  <c r="M24" i="17"/>
  <c r="N24" i="17" s="1"/>
  <c r="O24" i="17" s="1"/>
  <c r="M25" i="17"/>
  <c r="N25" i="17" s="1"/>
  <c r="O25" i="17" s="1"/>
  <c r="S25" i="17" s="1"/>
  <c r="M26" i="17"/>
  <c r="N26" i="17" s="1"/>
  <c r="O26" i="17" s="1"/>
  <c r="M27" i="17"/>
  <c r="N27" i="17" s="1"/>
  <c r="O27" i="17" s="1"/>
  <c r="M28" i="17"/>
  <c r="N28" i="17" s="1"/>
  <c r="O28" i="17" s="1"/>
  <c r="M29" i="17"/>
  <c r="N29" i="17" s="1"/>
  <c r="O29" i="17" s="1"/>
  <c r="M30" i="17"/>
  <c r="N30" i="17" s="1"/>
  <c r="O30" i="17" s="1"/>
  <c r="M31" i="17"/>
  <c r="N31" i="17" s="1"/>
  <c r="O31" i="17" s="1"/>
  <c r="M32" i="17"/>
  <c r="N32" i="17" s="1"/>
  <c r="O32" i="17" s="1"/>
  <c r="M33" i="17"/>
  <c r="N33" i="17" s="1"/>
  <c r="O33" i="17" s="1"/>
  <c r="M34" i="17"/>
  <c r="N34" i="17" s="1"/>
  <c r="O34" i="17" s="1"/>
  <c r="M35" i="17"/>
  <c r="N35" i="17" s="1"/>
  <c r="O35" i="17" s="1"/>
  <c r="M36" i="17"/>
  <c r="N36" i="17" s="1"/>
  <c r="O36" i="17" s="1"/>
  <c r="M37" i="17"/>
  <c r="N37" i="17" s="1"/>
  <c r="O37" i="17" s="1"/>
  <c r="M38" i="17"/>
  <c r="N38" i="17" s="1"/>
  <c r="O38" i="17" s="1"/>
  <c r="M39" i="17"/>
  <c r="N39" i="17" s="1"/>
  <c r="O39" i="17" s="1"/>
  <c r="M40" i="17"/>
  <c r="N40" i="17"/>
  <c r="O40" i="17" s="1"/>
  <c r="S40" i="17" s="1"/>
  <c r="M41" i="17"/>
  <c r="N41" i="17" s="1"/>
  <c r="O41" i="17" s="1"/>
  <c r="M42" i="17"/>
  <c r="N42" i="17" s="1"/>
  <c r="O42" i="17" s="1"/>
  <c r="M43" i="17"/>
  <c r="N43" i="17" s="1"/>
  <c r="O43" i="17" s="1"/>
  <c r="M44" i="17"/>
  <c r="N44" i="17" s="1"/>
  <c r="O44" i="17" s="1"/>
  <c r="M45" i="17"/>
  <c r="N45" i="17" s="1"/>
  <c r="O45" i="17" s="1"/>
  <c r="M46" i="17"/>
  <c r="N46" i="17" s="1"/>
  <c r="O46" i="17" s="1"/>
  <c r="M47" i="17"/>
  <c r="N47" i="17" s="1"/>
  <c r="O47" i="17" s="1"/>
  <c r="M48" i="17"/>
  <c r="N48" i="17" s="1"/>
  <c r="O48" i="17" s="1"/>
  <c r="M49" i="17"/>
  <c r="N49" i="17" s="1"/>
  <c r="O49" i="17" s="1"/>
  <c r="M50" i="17"/>
  <c r="N50" i="17" s="1"/>
  <c r="O50" i="17" s="1"/>
  <c r="M51" i="17"/>
  <c r="N51" i="17" s="1"/>
  <c r="O51" i="17" s="1"/>
  <c r="M52" i="17"/>
  <c r="N52" i="17" s="1"/>
  <c r="O52" i="17" s="1"/>
  <c r="M53" i="17"/>
  <c r="N53" i="17" s="1"/>
  <c r="O53" i="17" s="1"/>
  <c r="M54" i="17"/>
  <c r="N54" i="17" s="1"/>
  <c r="O54" i="17" s="1"/>
  <c r="M55" i="17"/>
  <c r="N55" i="17" s="1"/>
  <c r="O55" i="17" s="1"/>
  <c r="M56" i="17"/>
  <c r="N56" i="17" s="1"/>
  <c r="O56" i="17" s="1"/>
  <c r="S56" i="17" s="1"/>
  <c r="M57" i="17"/>
  <c r="N57" i="17" s="1"/>
  <c r="O57" i="17" s="1"/>
  <c r="M58" i="17"/>
  <c r="N58" i="17" s="1"/>
  <c r="O58" i="17" s="1"/>
  <c r="M59" i="17"/>
  <c r="N59" i="17" s="1"/>
  <c r="O59" i="17" s="1"/>
  <c r="M60" i="17"/>
  <c r="N60" i="17" s="1"/>
  <c r="O60" i="17" s="1"/>
  <c r="M61" i="17"/>
  <c r="N61" i="17" s="1"/>
  <c r="O61" i="17" s="1"/>
  <c r="M62" i="17"/>
  <c r="N62" i="17" s="1"/>
  <c r="O62" i="17" s="1"/>
  <c r="G62" i="17"/>
  <c r="H62" i="17" s="1"/>
  <c r="I62" i="17" s="1"/>
  <c r="G14" i="17"/>
  <c r="H14" i="17" s="1"/>
  <c r="I14" i="17" s="1"/>
  <c r="G15" i="17"/>
  <c r="H15" i="17" s="1"/>
  <c r="I15" i="17" s="1"/>
  <c r="G16" i="17"/>
  <c r="H16" i="17" s="1"/>
  <c r="I16" i="17" s="1"/>
  <c r="G17" i="17"/>
  <c r="H17" i="17" s="1"/>
  <c r="I17" i="17" s="1"/>
  <c r="G18" i="17"/>
  <c r="H18" i="17" s="1"/>
  <c r="I18" i="17" s="1"/>
  <c r="G19" i="17"/>
  <c r="H19" i="17" s="1"/>
  <c r="I19" i="17" s="1"/>
  <c r="G20" i="17"/>
  <c r="H20" i="17" s="1"/>
  <c r="I20" i="17" s="1"/>
  <c r="G21" i="17"/>
  <c r="H21" i="17" s="1"/>
  <c r="I21" i="17" s="1"/>
  <c r="G22" i="17"/>
  <c r="H22" i="17" s="1"/>
  <c r="I22" i="17" s="1"/>
  <c r="G23" i="17"/>
  <c r="H23" i="17" s="1"/>
  <c r="I23" i="17" s="1"/>
  <c r="G24" i="17"/>
  <c r="H24" i="17" s="1"/>
  <c r="I24" i="17" s="1"/>
  <c r="G25" i="17"/>
  <c r="H25" i="17" s="1"/>
  <c r="I25" i="17" s="1"/>
  <c r="G26" i="17"/>
  <c r="H26" i="17" s="1"/>
  <c r="I26" i="17" s="1"/>
  <c r="G27" i="17"/>
  <c r="H27" i="17" s="1"/>
  <c r="I27" i="17" s="1"/>
  <c r="G28" i="17"/>
  <c r="H28" i="17" s="1"/>
  <c r="I28" i="17" s="1"/>
  <c r="G29" i="17"/>
  <c r="H29" i="17" s="1"/>
  <c r="I29" i="17" s="1"/>
  <c r="G30" i="17"/>
  <c r="H30" i="17" s="1"/>
  <c r="I30" i="17" s="1"/>
  <c r="G31" i="17"/>
  <c r="H31" i="17" s="1"/>
  <c r="I31" i="17" s="1"/>
  <c r="G32" i="17"/>
  <c r="H32" i="17" s="1"/>
  <c r="I32" i="17" s="1"/>
  <c r="G33" i="17"/>
  <c r="H33" i="17"/>
  <c r="I33" i="17" s="1"/>
  <c r="G34" i="17"/>
  <c r="H34" i="17" s="1"/>
  <c r="I34" i="17" s="1"/>
  <c r="G35" i="17"/>
  <c r="H35" i="17" s="1"/>
  <c r="I35" i="17" s="1"/>
  <c r="G36" i="17"/>
  <c r="H36" i="17" s="1"/>
  <c r="I36" i="17" s="1"/>
  <c r="G37" i="17"/>
  <c r="H37" i="17" s="1"/>
  <c r="I37" i="17" s="1"/>
  <c r="G38" i="17"/>
  <c r="H38" i="17" s="1"/>
  <c r="I38" i="17" s="1"/>
  <c r="G39" i="17"/>
  <c r="H39" i="17" s="1"/>
  <c r="I39" i="17" s="1"/>
  <c r="G40" i="17"/>
  <c r="H40" i="17" s="1"/>
  <c r="I40" i="17" s="1"/>
  <c r="G41" i="17"/>
  <c r="H41" i="17" s="1"/>
  <c r="I41" i="17" s="1"/>
  <c r="G42" i="17"/>
  <c r="H42" i="17" s="1"/>
  <c r="I42" i="17" s="1"/>
  <c r="G43" i="17"/>
  <c r="H43" i="17" s="1"/>
  <c r="I43" i="17" s="1"/>
  <c r="G44" i="17"/>
  <c r="H44" i="17" s="1"/>
  <c r="I44" i="17" s="1"/>
  <c r="G45" i="17"/>
  <c r="H45" i="17" s="1"/>
  <c r="I45" i="17" s="1"/>
  <c r="G46" i="17"/>
  <c r="H46" i="17" s="1"/>
  <c r="I46" i="17" s="1"/>
  <c r="G47" i="17"/>
  <c r="H47" i="17" s="1"/>
  <c r="I47" i="17" s="1"/>
  <c r="G48" i="17"/>
  <c r="H48" i="17" s="1"/>
  <c r="I48" i="17" s="1"/>
  <c r="G49" i="17"/>
  <c r="H49" i="17" s="1"/>
  <c r="I49" i="17" s="1"/>
  <c r="G50" i="17"/>
  <c r="H50" i="17" s="1"/>
  <c r="I50" i="17" s="1"/>
  <c r="G51" i="17"/>
  <c r="H51" i="17" s="1"/>
  <c r="I51" i="17" s="1"/>
  <c r="G52" i="17"/>
  <c r="H52" i="17" s="1"/>
  <c r="I52" i="17" s="1"/>
  <c r="G53" i="17"/>
  <c r="H53" i="17" s="1"/>
  <c r="I53" i="17" s="1"/>
  <c r="G54" i="17"/>
  <c r="H54" i="17" s="1"/>
  <c r="I54" i="17" s="1"/>
  <c r="G55" i="17"/>
  <c r="H55" i="17" s="1"/>
  <c r="I55" i="17" s="1"/>
  <c r="G56" i="17"/>
  <c r="H56" i="17" s="1"/>
  <c r="I56" i="17" s="1"/>
  <c r="G57" i="17"/>
  <c r="H57" i="17" s="1"/>
  <c r="I57" i="17" s="1"/>
  <c r="G58" i="17"/>
  <c r="H58" i="17" s="1"/>
  <c r="I58" i="17" s="1"/>
  <c r="G59" i="17"/>
  <c r="H59" i="17" s="1"/>
  <c r="I59" i="17" s="1"/>
  <c r="G60" i="17"/>
  <c r="H60" i="17" s="1"/>
  <c r="I60" i="17" s="1"/>
  <c r="G61" i="17"/>
  <c r="H61" i="17" s="1"/>
  <c r="I61" i="17" s="1"/>
  <c r="S14" i="17" l="1"/>
  <c r="S47" i="17"/>
  <c r="S27" i="17"/>
  <c r="Z27" i="17" s="1"/>
  <c r="S39" i="17"/>
  <c r="Z39" i="17" s="1"/>
  <c r="S22" i="17"/>
  <c r="S60" i="17"/>
  <c r="Z60" i="17" s="1"/>
  <c r="S59" i="17"/>
  <c r="Z59" i="17" s="1"/>
  <c r="S55" i="17"/>
  <c r="Z55" i="17" s="1"/>
  <c r="S52" i="17"/>
  <c r="Z52" i="17" s="1"/>
  <c r="S51" i="17"/>
  <c r="S50" i="17"/>
  <c r="Z50" i="17" s="1"/>
  <c r="S48" i="17"/>
  <c r="Z48" i="17" s="1"/>
  <c r="S46" i="17"/>
  <c r="S44" i="17"/>
  <c r="S43" i="17"/>
  <c r="Z43" i="17" s="1"/>
  <c r="S42" i="17"/>
  <c r="Z42" i="17" s="1"/>
  <c r="S38" i="17"/>
  <c r="Z38" i="17" s="1"/>
  <c r="S36" i="17"/>
  <c r="S35" i="17"/>
  <c r="Z35" i="17" s="1"/>
  <c r="S34" i="17"/>
  <c r="Z34" i="17" s="1"/>
  <c r="S32" i="17"/>
  <c r="S31" i="17"/>
  <c r="Z31" i="17" s="1"/>
  <c r="S30" i="17"/>
  <c r="Z30" i="17" s="1"/>
  <c r="S28" i="17"/>
  <c r="Z28" i="17" s="1"/>
  <c r="S26" i="17"/>
  <c r="S24" i="17"/>
  <c r="S18" i="17"/>
  <c r="Z18" i="17" s="1"/>
  <c r="S17" i="17"/>
  <c r="Z17" i="17" s="1"/>
  <c r="S16" i="17"/>
  <c r="Z56" i="17"/>
  <c r="S54" i="17"/>
  <c r="Z54" i="17" s="1"/>
  <c r="Z46" i="17"/>
  <c r="Z26" i="17"/>
  <c r="Z22" i="17"/>
  <c r="Z14" i="17"/>
  <c r="S61" i="17"/>
  <c r="Z61" i="17" s="1"/>
  <c r="S57" i="17"/>
  <c r="Z57" i="17" s="1"/>
  <c r="S53" i="17"/>
  <c r="Z53" i="17" s="1"/>
  <c r="S49" i="17"/>
  <c r="Z49" i="17" s="1"/>
  <c r="S45" i="17"/>
  <c r="S41" i="17"/>
  <c r="S37" i="17"/>
  <c r="Z37" i="17" s="1"/>
  <c r="S33" i="17"/>
  <c r="Z33" i="17" s="1"/>
  <c r="S29" i="17"/>
  <c r="Z29" i="17" s="1"/>
  <c r="S58" i="17"/>
  <c r="Z58" i="17" s="1"/>
  <c r="S62" i="17"/>
  <c r="Z62" i="17" s="1"/>
  <c r="Z24" i="17"/>
  <c r="S19" i="17"/>
  <c r="Z19" i="17" s="1"/>
  <c r="S15" i="17"/>
  <c r="Z44" i="17"/>
  <c r="Z40" i="17"/>
  <c r="S23" i="17"/>
  <c r="Z23" i="17" s="1"/>
  <c r="Z51" i="17"/>
  <c r="Z47" i="17"/>
  <c r="Z36" i="17"/>
  <c r="Z32" i="17"/>
  <c r="Z20" i="17"/>
  <c r="Z16" i="17"/>
  <c r="Z15" i="17"/>
  <c r="Z45" i="17"/>
  <c r="Z41" i="17"/>
  <c r="Z25" i="17"/>
  <c r="M13" i="17"/>
  <c r="W13" i="17" l="1"/>
  <c r="X13" i="17" s="1"/>
  <c r="Y13" i="17" s="1"/>
  <c r="N13" i="17"/>
  <c r="O13" i="17" s="1"/>
  <c r="G13" i="17"/>
  <c r="H13" i="17" s="1"/>
  <c r="I13" i="17" s="1"/>
  <c r="H12" i="22"/>
  <c r="S13" i="17" l="1"/>
  <c r="Z13" i="17" s="1"/>
</calcChain>
</file>

<file path=xl/sharedStrings.xml><?xml version="1.0" encoding="utf-8"?>
<sst xmlns="http://schemas.openxmlformats.org/spreadsheetml/2006/main" count="1772" uniqueCount="228">
  <si>
    <t>CONSOLIDATED MARK STATEMENT (CAM)</t>
  </si>
  <si>
    <t>PROGRAMME</t>
  </si>
  <si>
    <t>BATCH</t>
  </si>
  <si>
    <t>FACULTY</t>
  </si>
  <si>
    <t>: Faculty of Sciences</t>
  </si>
  <si>
    <t>COURSE CODE</t>
  </si>
  <si>
    <t>YEAR &amp; SEMESTER</t>
  </si>
  <si>
    <t>ACADEMIC YEAR</t>
  </si>
  <si>
    <t>SCHOOL</t>
  </si>
  <si>
    <t>COURSE NAME</t>
  </si>
  <si>
    <t>Assignment (1)</t>
  </si>
  <si>
    <t>MCQ (2)</t>
  </si>
  <si>
    <t>Attendance (3)</t>
  </si>
  <si>
    <t>CAT (4)</t>
  </si>
  <si>
    <t>SL. NO</t>
  </si>
  <si>
    <t>ENROLLMENT NO.</t>
  </si>
  <si>
    <t>NAME OF THE STUDENT</t>
  </si>
  <si>
    <t>ASN 01</t>
  </si>
  <si>
    <t>ASN 02</t>
  </si>
  <si>
    <t>ASN 03</t>
  </si>
  <si>
    <t>Best of Two (10)</t>
  </si>
  <si>
    <t>Aver age      (5)</t>
  </si>
  <si>
    <t>(I) Assign ment Mark    (5)</t>
  </si>
  <si>
    <t>MCQ 01</t>
  </si>
  <si>
    <t>MCQ 02</t>
  </si>
  <si>
    <t>MCQ 03</t>
  </si>
  <si>
    <t>Best of Two (50)</t>
  </si>
  <si>
    <t>(II) MCQ Mark (5)</t>
  </si>
  <si>
    <t>(III) Semi nar Mark (5)</t>
  </si>
  <si>
    <t>Atten dance    %</t>
  </si>
  <si>
    <t>(IV)     Atten dance    (5)</t>
  </si>
  <si>
    <t>Total     (20)        (A)</t>
  </si>
  <si>
    <t>Best of Two (200)</t>
  </si>
  <si>
    <t>Average Marks    (20)</t>
  </si>
  <si>
    <t>CAT Test Mark     (20)     (B)</t>
  </si>
  <si>
    <t>CAM       (A + B) (40)</t>
  </si>
  <si>
    <t>Prepared by</t>
  </si>
  <si>
    <t>Checked by</t>
  </si>
  <si>
    <t>Verified by</t>
  </si>
  <si>
    <t>Course Incharge</t>
  </si>
  <si>
    <t>School Incharge</t>
  </si>
  <si>
    <t>Dean - FSC</t>
  </si>
  <si>
    <r>
      <rPr>
        <b/>
        <sz val="12"/>
        <color theme="1"/>
        <rFont val="Times New Roman"/>
        <charset val="134"/>
      </rPr>
      <t>FACULTY:</t>
    </r>
    <r>
      <rPr>
        <sz val="12"/>
        <color theme="1"/>
        <rFont val="Times New Roman"/>
        <charset val="134"/>
      </rPr>
      <t xml:space="preserve"> Faculty of Sciences</t>
    </r>
  </si>
  <si>
    <r>
      <rPr>
        <b/>
        <sz val="12"/>
        <color theme="1"/>
        <rFont val="Times New Roman"/>
        <charset val="134"/>
      </rPr>
      <t xml:space="preserve">SCHOOL: </t>
    </r>
    <r>
      <rPr>
        <sz val="12"/>
        <color theme="1"/>
        <rFont val="Times New Roman"/>
        <charset val="134"/>
      </rPr>
      <t>School of Computer Science</t>
    </r>
  </si>
  <si>
    <t>S.No.</t>
  </si>
  <si>
    <t>REGISTER NUMBER</t>
  </si>
  <si>
    <t>NAME</t>
  </si>
  <si>
    <t>(40)</t>
  </si>
  <si>
    <t>(50)</t>
  </si>
  <si>
    <t>(100)</t>
  </si>
  <si>
    <t>Dean FSC</t>
  </si>
  <si>
    <t>(Name, Signature with Date)</t>
  </si>
  <si>
    <t>FACULTY: Faculty of Sciences</t>
  </si>
  <si>
    <t>SCHOOL: School of Computer Sciences</t>
  </si>
  <si>
    <t>Attendance     Mark                       (5)</t>
  </si>
  <si>
    <t>: BCA</t>
  </si>
  <si>
    <t>TU6220204111001</t>
  </si>
  <si>
    <t>ARTHI. M</t>
  </si>
  <si>
    <t>TU6220204111002</t>
  </si>
  <si>
    <t>ASARUDDEEN. Y</t>
  </si>
  <si>
    <t>TU6220204111003</t>
  </si>
  <si>
    <t>HARISH. D</t>
  </si>
  <si>
    <r>
      <t>PROGRAMME:</t>
    </r>
    <r>
      <rPr>
        <sz val="12"/>
        <color theme="1"/>
        <rFont val="Times New Roman"/>
        <charset val="134"/>
      </rPr>
      <t xml:space="preserve"> BCA</t>
    </r>
  </si>
  <si>
    <t>PROGRAMME: BCA</t>
  </si>
  <si>
    <t>ASU22CSTC624                    Machine Learning</t>
  </si>
  <si>
    <t>ASU22CSTC625            C# and .NET Framework</t>
  </si>
  <si>
    <t>ASU22CATC626                 Data Mining and Warehousing</t>
  </si>
  <si>
    <t>ASU22CSDE602                Cloud Computing</t>
  </si>
  <si>
    <t>ASU22CSLC627           Machine Learning Lab</t>
  </si>
  <si>
    <t>ASU22CSLC628         C# and .NET Framework Lab</t>
  </si>
  <si>
    <t xml:space="preserve">ASU22CSWC629           Project </t>
  </si>
  <si>
    <t>ASU22BATS605  Entrepreneurship
Development</t>
  </si>
  <si>
    <t>: II / III</t>
  </si>
  <si>
    <t>: 2024 - 2027</t>
  </si>
  <si>
    <t>: 2025-2026</t>
  </si>
  <si>
    <t>: School of Computer Science</t>
  </si>
  <si>
    <t>: Programming in Python</t>
  </si>
  <si>
    <t>TU6243203111001</t>
  </si>
  <si>
    <t>ANBUCHELVAN E</t>
  </si>
  <si>
    <t>TU6243203111002</t>
  </si>
  <si>
    <t>BHUVANESHWARI T</t>
  </si>
  <si>
    <t>TU6243203111003</t>
  </si>
  <si>
    <t>CALEB K</t>
  </si>
  <si>
    <t>TU6243203111004</t>
  </si>
  <si>
    <t>DHANUSH P</t>
  </si>
  <si>
    <t>TU6243203111005</t>
  </si>
  <si>
    <t>DHARANI DHARAN S</t>
  </si>
  <si>
    <t>TU6243203111006</t>
  </si>
  <si>
    <t>DIVAGAR P</t>
  </si>
  <si>
    <t>TU6243203111007</t>
  </si>
  <si>
    <t>GOPIKRISHNAN R</t>
  </si>
  <si>
    <t>TU6243203111008</t>
  </si>
  <si>
    <t>GOWRI M</t>
  </si>
  <si>
    <t>TU6243203111009</t>
  </si>
  <si>
    <t>GURUBALAN J</t>
  </si>
  <si>
    <t>TU6243203111010</t>
  </si>
  <si>
    <t>HARISH P S</t>
  </si>
  <si>
    <t>TU6243203111011</t>
  </si>
  <si>
    <t>HARISH R</t>
  </si>
  <si>
    <t>TU6243203111012</t>
  </si>
  <si>
    <t>IBRAHIM S</t>
  </si>
  <si>
    <t>TU6243203111013</t>
  </si>
  <si>
    <t>JAGAN G</t>
  </si>
  <si>
    <t>TU6243203111014</t>
  </si>
  <si>
    <t>JAYAPRIYA G</t>
  </si>
  <si>
    <t>TU6243203111015</t>
  </si>
  <si>
    <t>JAYARAJ S</t>
  </si>
  <si>
    <t>TU6243203111016</t>
  </si>
  <si>
    <t>JEEVA S</t>
  </si>
  <si>
    <t>TU6243203111017</t>
  </si>
  <si>
    <t>KAVIYA S</t>
  </si>
  <si>
    <t>TU6243203111018</t>
  </si>
  <si>
    <t>KIRUTHIKA S</t>
  </si>
  <si>
    <t>TU6243203111019</t>
  </si>
  <si>
    <t>KISHOR A</t>
  </si>
  <si>
    <t>TU6243203111020</t>
  </si>
  <si>
    <t>LALITH YADHAV S</t>
  </si>
  <si>
    <t>TU6243203111021</t>
  </si>
  <si>
    <t>LOKESH B</t>
  </si>
  <si>
    <t>TU6243203111022</t>
  </si>
  <si>
    <t>LOKESH V</t>
  </si>
  <si>
    <t>TU6243203111023</t>
  </si>
  <si>
    <t>MIRTHALA M</t>
  </si>
  <si>
    <t>TU6243203111024</t>
  </si>
  <si>
    <t>MOHANRAJ E</t>
  </si>
  <si>
    <t>TU6243203111025</t>
  </si>
  <si>
    <t>MOHAN RAJ V</t>
  </si>
  <si>
    <t>TU6243203111026</t>
  </si>
  <si>
    <t>NIMSON S</t>
  </si>
  <si>
    <t>TU6243203111027</t>
  </si>
  <si>
    <t>PANNEERSELVAM S</t>
  </si>
  <si>
    <t>TU6243203111028</t>
  </si>
  <si>
    <t>POORNIMA RAJ R</t>
  </si>
  <si>
    <t>TU6243203111029</t>
  </si>
  <si>
    <t>PUSHPARAJ D</t>
  </si>
  <si>
    <t>TU6243203111030</t>
  </si>
  <si>
    <t>RAHATHUNNISHA A</t>
  </si>
  <si>
    <t>TU6243203111031</t>
  </si>
  <si>
    <t>RAJESWARI S</t>
  </si>
  <si>
    <t>TU6243203111032</t>
  </si>
  <si>
    <t>SAFA THASNIM J</t>
  </si>
  <si>
    <t>TU6243203111033</t>
  </si>
  <si>
    <t>SANKARANARAYANAN M</t>
  </si>
  <si>
    <t>TU6243203111034</t>
  </si>
  <si>
    <t>SANTHIYA K</t>
  </si>
  <si>
    <t>TU6243203111035</t>
  </si>
  <si>
    <t>SAKTHIVEL V</t>
  </si>
  <si>
    <t>TU6243203111036</t>
  </si>
  <si>
    <t>SELVA M</t>
  </si>
  <si>
    <t>TU6243203111037</t>
  </si>
  <si>
    <t>SHRIJA R</t>
  </si>
  <si>
    <t>TU6243203111038</t>
  </si>
  <si>
    <t>SIRANJEEVI V</t>
  </si>
  <si>
    <t>TU6243203111039</t>
  </si>
  <si>
    <t>SHEVARAMAN N</t>
  </si>
  <si>
    <t>TU6243203111040</t>
  </si>
  <si>
    <t>SOWMIYA G</t>
  </si>
  <si>
    <t>TU6243203111041</t>
  </si>
  <si>
    <t>SUNDAR RAJAN S</t>
  </si>
  <si>
    <t>TU6243203111042</t>
  </si>
  <si>
    <t>SYED YUSUF S J</t>
  </si>
  <si>
    <t>TU6243203111043</t>
  </si>
  <si>
    <t>VASANTH KUMAR S</t>
  </si>
  <si>
    <t>TU6243203111044</t>
  </si>
  <si>
    <t>DHINESH P</t>
  </si>
  <si>
    <t>TU6243203111045</t>
  </si>
  <si>
    <t>DHANASEZHIYAN A</t>
  </si>
  <si>
    <t>TU6243203111046</t>
  </si>
  <si>
    <t>GURUNATHAN K</t>
  </si>
  <si>
    <t>TU6243203111047</t>
  </si>
  <si>
    <t>HARINESH T</t>
  </si>
  <si>
    <t>TU6243203111048</t>
  </si>
  <si>
    <t>MUTHUVEL M</t>
  </si>
  <si>
    <t>TU6243203111049</t>
  </si>
  <si>
    <t>TU6243203111050</t>
  </si>
  <si>
    <t>VARSHINI</t>
  </si>
  <si>
    <t>RITHIC PREMKAANTH PK</t>
  </si>
  <si>
    <t>AB</t>
  </si>
  <si>
    <t>94</t>
  </si>
  <si>
    <t>CAT   01 (100)</t>
  </si>
  <si>
    <t>CAT    02 (100)</t>
  </si>
  <si>
    <t>CAT   03 (100)</t>
  </si>
  <si>
    <t>: U24CAB301</t>
  </si>
  <si>
    <r>
      <t xml:space="preserve">BATCH: </t>
    </r>
    <r>
      <rPr>
        <sz val="12"/>
        <color theme="1"/>
        <rFont val="Times New Roman"/>
        <charset val="134"/>
      </rPr>
      <t>2024 - 2027</t>
    </r>
  </si>
  <si>
    <r>
      <t xml:space="preserve">ACADEMIC YEAR: </t>
    </r>
    <r>
      <rPr>
        <sz val="12"/>
        <color theme="1"/>
        <rFont val="Times New Roman"/>
        <charset val="134"/>
      </rPr>
      <t>2025 - 2026</t>
    </r>
  </si>
  <si>
    <r>
      <t xml:space="preserve">YEAR &amp; SEMESTER: </t>
    </r>
    <r>
      <rPr>
        <sz val="12"/>
        <color theme="1"/>
        <rFont val="Times New Roman"/>
        <charset val="134"/>
      </rPr>
      <t>II &amp; III</t>
    </r>
  </si>
  <si>
    <t>: Database Mangement System</t>
  </si>
  <si>
    <t>: U24CSB372</t>
  </si>
  <si>
    <t>: Test Automation</t>
  </si>
  <si>
    <t>: U24CAB361</t>
  </si>
  <si>
    <t>: Financial Accounting</t>
  </si>
  <si>
    <t>: U24CMD301</t>
  </si>
  <si>
    <t>: Tamil – III</t>
  </si>
  <si>
    <t>: U24TAT373</t>
  </si>
  <si>
    <t>: Communicative English  III</t>
  </si>
  <si>
    <t>: U24ENT373</t>
  </si>
  <si>
    <t>Total                          Internal                     Marks                               (20)</t>
  </si>
  <si>
    <t>Record           Mark                    (5)</t>
  </si>
  <si>
    <t>Model           Mark                    (5)</t>
  </si>
  <si>
    <t>Viva-Voce           Mark                    (5)</t>
  </si>
  <si>
    <t>YEAR &amp; SEMESTER: II &amp; III</t>
  </si>
  <si>
    <t>BATCH: 2024 - 2027</t>
  </si>
  <si>
    <t>ACADEMIC YEAR: 2025 - 2026</t>
  </si>
  <si>
    <t>COURSE CODE: U24CAB301</t>
  </si>
  <si>
    <t>COURSE NAME: Programming in Python</t>
  </si>
  <si>
    <t>COURSE NAME: Database Management System</t>
  </si>
  <si>
    <t>COURSE CODE: U24CSB372</t>
  </si>
  <si>
    <t>COURSE NAME: Git and GitHub</t>
  </si>
  <si>
    <t>Total                          Internal                     Marks                               (100)</t>
  </si>
  <si>
    <t>COURSE NAME: Green Credit</t>
  </si>
  <si>
    <t>Practical             Mark                 (50)</t>
  </si>
  <si>
    <t>Presentation             Mark                 (20)</t>
  </si>
  <si>
    <t>Assignment               Mark                 (20)</t>
  </si>
  <si>
    <t>Attendance     Mark                       (10)</t>
  </si>
  <si>
    <t>COURSE NAME: Yoga and Meditation</t>
  </si>
  <si>
    <t>COURSE NAME: Takshashila Innovative Learning</t>
  </si>
  <si>
    <t>Understanding about the Topics                 (25)</t>
  </si>
  <si>
    <t>Deliver about the Topics                 (25)</t>
  </si>
  <si>
    <t>Assignment               Mark               (25)</t>
  </si>
  <si>
    <t>Presentation             Mark                 (15)</t>
  </si>
  <si>
    <t>COURSE CODE: U24CSS381</t>
  </si>
  <si>
    <t>COURSE CODE: U24UMP393</t>
  </si>
  <si>
    <t>COURSE CODE: U24UMP392</t>
  </si>
  <si>
    <t>COURSE CODE: U24UMP391</t>
  </si>
  <si>
    <t>Test                 Marks                    (50)</t>
  </si>
  <si>
    <t>Attendance     Marks                       (10)</t>
  </si>
  <si>
    <t>MCQ           Marks                   (20)</t>
  </si>
  <si>
    <t>Assignment           Marks                    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</si>
</sst>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name val="Calibri"/>
      <charset val="134"/>
    </font>
    <font>
      <b/>
      <sz val="10"/>
      <color theme="1"/>
      <name val="Times New Roman"/>
      <charset val="134"/>
    </font>
    <font>
      <sz val="12"/>
      <color rgb="FF000000"/>
      <name val="Times New Roman"/>
      <charset val="134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4"/>
      <color rgb="FF000000"/>
      <name val="Times New Roman"/>
      <charset val="134"/>
    </font>
    <font>
      <b/>
      <sz val="12"/>
      <name val="Times New Roman"/>
      <charset val="134"/>
    </font>
    <font>
      <b/>
      <sz val="14"/>
      <color theme="1"/>
      <name val="Times New Roman"/>
      <charset val="134"/>
    </font>
    <font>
      <sz val="11"/>
      <name val="Calibri"/>
      <charset val="134"/>
    </font>
    <font>
      <b/>
      <sz val="11"/>
      <color theme="1"/>
      <name val="Times New Roman"/>
      <charset val="134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9C0006"/>
      <name val="Times New Roman"/>
      <family val="1"/>
    </font>
    <font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9C0006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CC66"/>
        <bgColor rgb="FFFFCC66"/>
      </patternFill>
    </fill>
    <fill>
      <patternFill patternType="solid">
        <fgColor rgb="FFFFEB9C"/>
        <bgColor rgb="FFFFEB9C"/>
      </patternFill>
    </fill>
    <fill>
      <patternFill patternType="solid">
        <fgColor rgb="FFC2D69B"/>
        <bgColor rgb="FFC2D69B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rgb="FF00B050"/>
      </patternFill>
    </fill>
    <fill>
      <patternFill patternType="solid">
        <fgColor theme="5" tint="0.59999389629810485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rgb="FFD8D8D8"/>
      </patternFill>
    </fill>
    <fill>
      <patternFill patternType="solid">
        <fgColor theme="9" tint="0.79998168889431442"/>
        <bgColor rgb="FFFFCC66"/>
      </patternFill>
    </fill>
    <fill>
      <patternFill patternType="solid">
        <fgColor theme="9" tint="0.79998168889431442"/>
        <b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2D69B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4">
    <xf numFmtId="0" fontId="0" fillId="0" borderId="0" xfId="0" applyFont="1" applyAlignment="1"/>
    <xf numFmtId="0" fontId="3" fillId="3" borderId="0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4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/>
    <xf numFmtId="0" fontId="1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5" fillId="6" borderId="3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6" fillId="11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1" fillId="2" borderId="8" xfId="0" quotePrefix="1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vertical="center" wrapText="1"/>
    </xf>
    <xf numFmtId="0" fontId="15" fillId="10" borderId="7" xfId="0" applyFont="1" applyFill="1" applyBorder="1" applyAlignment="1">
      <alignment horizontal="center" vertical="center" textRotation="90" wrapText="1"/>
    </xf>
    <xf numFmtId="0" fontId="15" fillId="2" borderId="7" xfId="0" applyFont="1" applyFill="1" applyBorder="1" applyAlignment="1">
      <alignment horizontal="center" vertical="center" textRotation="90" wrapText="1"/>
    </xf>
    <xf numFmtId="0" fontId="6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vertical="center" wrapText="1"/>
    </xf>
    <xf numFmtId="0" fontId="19" fillId="3" borderId="0" xfId="0" applyFont="1" applyFill="1" applyBorder="1" applyAlignment="1">
      <alignment horizontal="center" vertical="center"/>
    </xf>
    <xf numFmtId="0" fontId="1" fillId="0" borderId="8" xfId="0" applyFont="1" applyBorder="1"/>
    <xf numFmtId="0" fontId="3" fillId="0" borderId="8" xfId="0" applyFont="1" applyBorder="1"/>
    <xf numFmtId="0" fontId="1" fillId="12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top" wrapText="1"/>
    </xf>
    <xf numFmtId="0" fontId="1" fillId="15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7" fillId="16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6" fillId="17" borderId="3" xfId="0" applyFont="1" applyFill="1" applyBorder="1" applyAlignment="1">
      <alignment horizontal="center" vertical="center" wrapText="1"/>
    </xf>
    <xf numFmtId="0" fontId="1" fillId="15" borderId="8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vertical="center"/>
    </xf>
    <xf numFmtId="0" fontId="20" fillId="0" borderId="0" xfId="0" applyFont="1" applyAlignment="1"/>
    <xf numFmtId="0" fontId="1" fillId="15" borderId="15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vertical="center"/>
    </xf>
    <xf numFmtId="0" fontId="1" fillId="14" borderId="18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top" wrapText="1"/>
    </xf>
    <xf numFmtId="0" fontId="1" fillId="15" borderId="18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3" fillId="16" borderId="3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2" fillId="17" borderId="3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23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5" fillId="18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9" xfId="0" applyFont="1" applyBorder="1"/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1" fillId="0" borderId="15" xfId="0" applyFont="1" applyBorder="1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0" fontId="11" fillId="0" borderId="10" xfId="0" applyFont="1" applyBorder="1"/>
    <xf numFmtId="0" fontId="12" fillId="3" borderId="8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14" fillId="0" borderId="1" xfId="0" applyFont="1" applyBorder="1" applyAlignment="1">
      <alignment horizontal="left"/>
    </xf>
    <xf numFmtId="0" fontId="11" fillId="0" borderId="9" xfId="0" applyFont="1" applyBorder="1"/>
    <xf numFmtId="0" fontId="1" fillId="0" borderId="1" xfId="0" applyFont="1" applyBorder="1" applyAlignment="1">
      <alignment horizontal="left"/>
    </xf>
    <xf numFmtId="0" fontId="14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4">
    <tableStyle name="Tamil-style" pivot="0" count="2">
      <tableStyleElement type="firstRowStripe" dxfId="34"/>
      <tableStyleElement type="secondRowStripe" dxfId="33"/>
    </tableStyle>
    <tableStyle name="Tamil-style 2" pivot="0" count="2">
      <tableStyleElement type="firstRowStripe" dxfId="32"/>
      <tableStyleElement type="secondRowStripe" dxfId="31"/>
    </tableStyle>
    <tableStyle name="english-style" pivot="0" count="2">
      <tableStyleElement type="firstRowStripe" dxfId="30"/>
      <tableStyleElement type="secondRowStripe" dxfId="29"/>
    </tableStyle>
    <tableStyle name="english-style 2" pivot="0" count="2">
      <tableStyleElement type="firstRowStripe" dxfId="28"/>
      <tableStyleElement type="secondRowStripe" dxfId="27"/>
    </tableStyle>
    <tableStyle name="c programming-style" pivot="0" count="2">
      <tableStyleElement type="firstRowStripe" dxfId="26"/>
      <tableStyleElement type="secondRowStripe" dxfId="25"/>
    </tableStyle>
    <tableStyle name="c programming-style 2" pivot="0" count="2">
      <tableStyleElement type="firstRowStripe" dxfId="24"/>
      <tableStyleElement type="secondRowStripe" dxfId="23"/>
    </tableStyle>
    <tableStyle name="digital-style" pivot="0" count="2">
      <tableStyleElement type="firstRowStripe" dxfId="22"/>
      <tableStyleElement type="secondRowStripe" dxfId="21"/>
    </tableStyle>
    <tableStyle name="digital-style 2" pivot="0" count="2">
      <tableStyleElement type="firstRowStripe" dxfId="20"/>
      <tableStyleElement type="secondRowStripe" dxfId="19"/>
    </tableStyle>
    <tableStyle name="Maths-style" pivot="0" count="2">
      <tableStyleElement type="firstRowStripe" dxfId="18"/>
      <tableStyleElement type="secondRowStripe" dxfId="17"/>
    </tableStyle>
    <tableStyle name="Maths-style 2" pivot="0" count="2">
      <tableStyleElement type="firstRowStripe" dxfId="16"/>
      <tableStyleElement type="secondRowStripe" dxfId="15"/>
    </tableStyle>
    <tableStyle name="python-style" pivot="0" count="2">
      <tableStyleElement type="firstRowStripe" dxfId="14"/>
      <tableStyleElement type="secondRowStripe" dxfId="13"/>
    </tableStyle>
    <tableStyle name="python-style 2" pivot="0" count="2">
      <tableStyleElement type="firstRowStripe" dxfId="12"/>
      <tableStyleElement type="secondRowStripe" dxfId="11"/>
    </tableStyle>
    <tableStyle name="AAG-style" pivot="0" count="2">
      <tableStyleElement type="firstRowStripe" dxfId="10"/>
      <tableStyleElement type="secondRowStripe" dxfId="9"/>
    </tableStyle>
    <tableStyle name="AAG-style 2" pivot="0" count="2"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761999</xdr:colOff>
      <xdr:row>0</xdr:row>
      <xdr:rowOff>0</xdr:rowOff>
    </xdr:from>
    <xdr:to>
      <xdr:col>19</xdr:col>
      <xdr:colOff>381000</xdr:colOff>
      <xdr:row>5</xdr:row>
      <xdr:rowOff>11906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95562" y="0"/>
          <a:ext cx="897731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761999</xdr:colOff>
      <xdr:row>0</xdr:row>
      <xdr:rowOff>0</xdr:rowOff>
    </xdr:from>
    <xdr:to>
      <xdr:col>19</xdr:col>
      <xdr:colOff>381000</xdr:colOff>
      <xdr:row>5</xdr:row>
      <xdr:rowOff>11906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00324" y="0"/>
          <a:ext cx="898207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761999</xdr:colOff>
      <xdr:row>0</xdr:row>
      <xdr:rowOff>0</xdr:rowOff>
    </xdr:from>
    <xdr:to>
      <xdr:col>19</xdr:col>
      <xdr:colOff>381000</xdr:colOff>
      <xdr:row>5</xdr:row>
      <xdr:rowOff>11906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00324" y="0"/>
          <a:ext cx="898207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761999</xdr:colOff>
      <xdr:row>0</xdr:row>
      <xdr:rowOff>0</xdr:rowOff>
    </xdr:from>
    <xdr:to>
      <xdr:col>19</xdr:col>
      <xdr:colOff>381000</xdr:colOff>
      <xdr:row>5</xdr:row>
      <xdr:rowOff>11906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00324" y="0"/>
          <a:ext cx="898207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761999</xdr:colOff>
      <xdr:row>0</xdr:row>
      <xdr:rowOff>0</xdr:rowOff>
    </xdr:from>
    <xdr:to>
      <xdr:col>19</xdr:col>
      <xdr:colOff>381000</xdr:colOff>
      <xdr:row>5</xdr:row>
      <xdr:rowOff>11906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00324" y="0"/>
          <a:ext cx="898207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761999</xdr:colOff>
      <xdr:row>0</xdr:row>
      <xdr:rowOff>0</xdr:rowOff>
    </xdr:from>
    <xdr:to>
      <xdr:col>19</xdr:col>
      <xdr:colOff>381000</xdr:colOff>
      <xdr:row>5</xdr:row>
      <xdr:rowOff>11906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00324" y="0"/>
          <a:ext cx="898207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0</xdr:rowOff>
    </xdr:from>
    <xdr:ext cx="9382124" cy="923925"/>
    <xdr:pic>
      <xdr:nvPicPr>
        <xdr:cNvPr id="4" name="image2.jpg" descr="C:\Users\TUAOAss\Downloads\WhatsApp Image 2024-03-06 at 12.11.39 PM.jpeg" title="Image"/>
        <xdr:cNvPicPr preferRelativeResize="0"/>
      </xdr:nvPicPr>
      <xdr:blipFill>
        <a:blip xmlns:r="http://schemas.openxmlformats.org/officeDocument/2006/relationships" r:embed="rId1" cstate="print"/>
        <a:srcRect t="27835"/>
        <a:stretch>
          <a:fillRect/>
        </a:stretch>
      </xdr:blipFill>
      <xdr:spPr>
        <a:xfrm>
          <a:off x="228600" y="0"/>
          <a:ext cx="9381490" cy="9239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68027</xdr:colOff>
      <xdr:row>0</xdr:row>
      <xdr:rowOff>22151</xdr:rowOff>
    </xdr:from>
    <xdr:ext cx="10020300" cy="947739"/>
    <xdr:pic>
      <xdr:nvPicPr>
        <xdr:cNvPr id="3" name="image1.jpg" descr="C:\Users\TUAOAss\Downloads\WhatsApp Image 2024-03-06 at 12.11.39 PM.jpeg"/>
        <xdr:cNvPicPr preferRelativeResize="0"/>
      </xdr:nvPicPr>
      <xdr:blipFill>
        <a:blip xmlns:r="http://schemas.openxmlformats.org/officeDocument/2006/relationships" r:embed="rId1" cstate="print"/>
        <a:srcRect t="28571"/>
        <a:stretch>
          <a:fillRect/>
        </a:stretch>
      </xdr:blipFill>
      <xdr:spPr>
        <a:xfrm>
          <a:off x="487045" y="21590"/>
          <a:ext cx="10020300" cy="948055"/>
        </a:xfrm>
        <a:prstGeom prst="rect">
          <a:avLst/>
        </a:prstGeom>
        <a:noFill/>
        <a:effectLst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68027</xdr:colOff>
      <xdr:row>0</xdr:row>
      <xdr:rowOff>22151</xdr:rowOff>
    </xdr:from>
    <xdr:ext cx="10020300" cy="947739"/>
    <xdr:pic>
      <xdr:nvPicPr>
        <xdr:cNvPr id="2" name="image1.jpg" descr="C:\Users\TUAOAss\Downloads\WhatsApp Image 2024-03-06 at 12.11.39 PM.jpeg"/>
        <xdr:cNvPicPr preferRelativeResize="0"/>
      </xdr:nvPicPr>
      <xdr:blipFill>
        <a:blip xmlns:r="http://schemas.openxmlformats.org/officeDocument/2006/relationships" r:embed="rId1" cstate="print"/>
        <a:srcRect t="28571"/>
        <a:stretch>
          <a:fillRect/>
        </a:stretch>
      </xdr:blipFill>
      <xdr:spPr>
        <a:xfrm>
          <a:off x="487127" y="22151"/>
          <a:ext cx="10020300" cy="947739"/>
        </a:xfrm>
        <a:prstGeom prst="rect">
          <a:avLst/>
        </a:prstGeom>
        <a:noFill/>
        <a:effectLst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68027</xdr:colOff>
      <xdr:row>0</xdr:row>
      <xdr:rowOff>22151</xdr:rowOff>
    </xdr:from>
    <xdr:ext cx="10020300" cy="947739"/>
    <xdr:pic>
      <xdr:nvPicPr>
        <xdr:cNvPr id="2" name="image1.jpg" descr="C:\Users\TUAOAss\Downloads\WhatsApp Image 2024-03-06 at 12.11.39 PM.jpeg"/>
        <xdr:cNvPicPr preferRelativeResize="0"/>
      </xdr:nvPicPr>
      <xdr:blipFill>
        <a:blip xmlns:r="http://schemas.openxmlformats.org/officeDocument/2006/relationships" r:embed="rId1" cstate="print"/>
        <a:srcRect t="28571"/>
        <a:stretch>
          <a:fillRect/>
        </a:stretch>
      </xdr:blipFill>
      <xdr:spPr>
        <a:xfrm>
          <a:off x="487127" y="22151"/>
          <a:ext cx="10020300" cy="947739"/>
        </a:xfrm>
        <a:prstGeom prst="rect">
          <a:avLst/>
        </a:prstGeom>
        <a:noFill/>
        <a:effectLst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68027</xdr:colOff>
      <xdr:row>0</xdr:row>
      <xdr:rowOff>22151</xdr:rowOff>
    </xdr:from>
    <xdr:ext cx="10020300" cy="947739"/>
    <xdr:pic>
      <xdr:nvPicPr>
        <xdr:cNvPr id="2" name="image1.jpg" descr="C:\Users\TUAOAss\Downloads\WhatsApp Image 2024-03-06 at 12.11.39 PM.jpeg"/>
        <xdr:cNvPicPr preferRelativeResize="0"/>
      </xdr:nvPicPr>
      <xdr:blipFill>
        <a:blip xmlns:r="http://schemas.openxmlformats.org/officeDocument/2006/relationships" r:embed="rId1" cstate="print"/>
        <a:srcRect t="28571"/>
        <a:stretch>
          <a:fillRect/>
        </a:stretch>
      </xdr:blipFill>
      <xdr:spPr>
        <a:xfrm>
          <a:off x="487127" y="22151"/>
          <a:ext cx="10020300" cy="947739"/>
        </a:xfrm>
        <a:prstGeom prst="rect">
          <a:avLst/>
        </a:prstGeom>
        <a:noFill/>
        <a:effectLst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68027</xdr:colOff>
      <xdr:row>0</xdr:row>
      <xdr:rowOff>22151</xdr:rowOff>
    </xdr:from>
    <xdr:ext cx="10020300" cy="947739"/>
    <xdr:pic>
      <xdr:nvPicPr>
        <xdr:cNvPr id="2" name="image1.jpg" descr="C:\Users\TUAOAss\Downloads\WhatsApp Image 2024-03-06 at 12.11.39 PM.jpeg"/>
        <xdr:cNvPicPr preferRelativeResize="0"/>
      </xdr:nvPicPr>
      <xdr:blipFill>
        <a:blip xmlns:r="http://schemas.openxmlformats.org/officeDocument/2006/relationships" r:embed="rId1" cstate="print"/>
        <a:srcRect t="28571"/>
        <a:stretch>
          <a:fillRect/>
        </a:stretch>
      </xdr:blipFill>
      <xdr:spPr>
        <a:xfrm>
          <a:off x="487127" y="22151"/>
          <a:ext cx="10020300" cy="947739"/>
        </a:xfrm>
        <a:prstGeom prst="rect">
          <a:avLst/>
        </a:prstGeom>
        <a:noFill/>
        <a:effectLst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68027</xdr:colOff>
      <xdr:row>0</xdr:row>
      <xdr:rowOff>22151</xdr:rowOff>
    </xdr:from>
    <xdr:ext cx="10020300" cy="947739"/>
    <xdr:pic>
      <xdr:nvPicPr>
        <xdr:cNvPr id="2" name="image1.jpg" descr="C:\Users\TUAOAss\Downloads\WhatsApp Image 2024-03-06 at 12.11.39 PM.jpeg"/>
        <xdr:cNvPicPr preferRelativeResize="0"/>
      </xdr:nvPicPr>
      <xdr:blipFill>
        <a:blip xmlns:r="http://schemas.openxmlformats.org/officeDocument/2006/relationships" r:embed="rId1" cstate="print"/>
        <a:srcRect t="28571"/>
        <a:stretch>
          <a:fillRect/>
        </a:stretch>
      </xdr:blipFill>
      <xdr:spPr>
        <a:xfrm>
          <a:off x="487127" y="22151"/>
          <a:ext cx="10020300" cy="947739"/>
        </a:xfrm>
        <a:prstGeom prst="rect">
          <a:avLst/>
        </a:prstGeom>
        <a:noFill/>
        <a:effectLst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opLeftCell="B50" zoomScale="80" zoomScaleNormal="80" workbookViewId="0">
      <selection activeCell="C67" sqref="C67"/>
    </sheetView>
  </sheetViews>
  <sheetFormatPr defaultColWidth="9" defaultRowHeight="15"/>
  <cols>
    <col min="1" max="1" width="6.28515625" customWidth="1"/>
    <col min="2" max="2" width="21.28515625" customWidth="1"/>
    <col min="3" max="3" width="25.5703125" customWidth="1"/>
    <col min="4" max="4" width="6.140625" customWidth="1"/>
    <col min="5" max="5" width="5.85546875" customWidth="1"/>
    <col min="6" max="6" width="6.28515625" customWidth="1"/>
    <col min="7" max="7" width="6.7109375" customWidth="1"/>
    <col min="8" max="8" width="6.28515625" customWidth="1"/>
    <col min="9" max="9" width="8" customWidth="1"/>
    <col min="10" max="11" width="7.140625" customWidth="1"/>
    <col min="12" max="14" width="6.7109375" customWidth="1"/>
    <col min="15" max="16" width="7.5703125" customWidth="1"/>
    <col min="17" max="17" width="8.28515625" customWidth="1"/>
    <col min="18" max="18" width="8.7109375" customWidth="1"/>
    <col min="19" max="19" width="9" customWidth="1"/>
    <col min="20" max="20" width="6.7109375" customWidth="1"/>
    <col min="21" max="21" width="6.5703125" customWidth="1"/>
    <col min="22" max="22" width="6.7109375" customWidth="1"/>
    <col min="23" max="23" width="7.28515625" customWidth="1"/>
    <col min="24" max="24" width="9.7109375" customWidth="1"/>
    <col min="25" max="25" width="7.5703125" customWidth="1"/>
    <col min="26" max="26" width="8.85546875" customWidth="1"/>
  </cols>
  <sheetData>
    <row r="1" spans="1:26">
      <c r="I1" s="13"/>
      <c r="R1" s="16"/>
    </row>
    <row r="2" spans="1:26">
      <c r="I2" s="13"/>
      <c r="R2" s="16"/>
    </row>
    <row r="3" spans="1:26">
      <c r="I3" s="13"/>
      <c r="R3" s="16"/>
    </row>
    <row r="4" spans="1:26">
      <c r="I4" s="13"/>
      <c r="R4" s="16"/>
    </row>
    <row r="5" spans="1:26">
      <c r="I5" s="13"/>
      <c r="R5" s="16"/>
    </row>
    <row r="6" spans="1:26" ht="15.75">
      <c r="A6" s="84" t="s">
        <v>0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6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87" t="s">
        <v>1</v>
      </c>
      <c r="B8" s="88"/>
      <c r="C8" s="29" t="s">
        <v>55</v>
      </c>
      <c r="D8" s="87" t="s">
        <v>2</v>
      </c>
      <c r="E8" s="88"/>
      <c r="F8" s="88"/>
      <c r="G8" s="88"/>
      <c r="H8" s="89" t="s">
        <v>73</v>
      </c>
      <c r="I8" s="89"/>
      <c r="J8" s="90"/>
      <c r="K8" s="87" t="s">
        <v>3</v>
      </c>
      <c r="L8" s="88"/>
      <c r="M8" s="89" t="s">
        <v>4</v>
      </c>
      <c r="N8" s="89"/>
      <c r="O8" s="89"/>
      <c r="P8" s="89"/>
      <c r="Q8" s="90"/>
      <c r="R8" s="91" t="s">
        <v>5</v>
      </c>
      <c r="S8" s="91"/>
      <c r="T8" s="92" t="s">
        <v>182</v>
      </c>
      <c r="U8" s="91"/>
      <c r="V8" s="91"/>
      <c r="W8" s="91"/>
      <c r="X8" s="91"/>
      <c r="Y8" s="91"/>
      <c r="Z8" s="93"/>
    </row>
    <row r="9" spans="1:26" ht="15.75">
      <c r="A9" s="94" t="s">
        <v>6</v>
      </c>
      <c r="B9" s="95"/>
      <c r="C9" s="29" t="s">
        <v>72</v>
      </c>
      <c r="D9" s="87" t="s">
        <v>7</v>
      </c>
      <c r="E9" s="88"/>
      <c r="F9" s="88"/>
      <c r="G9" s="88"/>
      <c r="H9" s="89" t="s">
        <v>74</v>
      </c>
      <c r="I9" s="89"/>
      <c r="J9" s="90"/>
      <c r="K9" s="95" t="s">
        <v>8</v>
      </c>
      <c r="L9" s="95"/>
      <c r="M9" s="96" t="s">
        <v>75</v>
      </c>
      <c r="N9" s="96"/>
      <c r="O9" s="96"/>
      <c r="P9" s="96"/>
      <c r="Q9" s="96"/>
      <c r="R9" s="87" t="s">
        <v>9</v>
      </c>
      <c r="S9" s="88"/>
      <c r="T9" s="97" t="s">
        <v>76</v>
      </c>
      <c r="U9" s="88"/>
      <c r="V9" s="88"/>
      <c r="W9" s="88"/>
      <c r="X9" s="88"/>
      <c r="Y9" s="88"/>
      <c r="Z9" s="98"/>
    </row>
    <row r="10" spans="1:26">
      <c r="A10" s="2"/>
      <c r="B10" s="2"/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3"/>
      <c r="W10" s="2"/>
      <c r="X10" s="2"/>
      <c r="Y10" s="2"/>
      <c r="Z10" s="2"/>
    </row>
    <row r="11" spans="1:26" ht="15.75">
      <c r="A11" s="37"/>
      <c r="B11" s="37"/>
      <c r="C11" s="37"/>
      <c r="D11" s="99" t="s">
        <v>10</v>
      </c>
      <c r="E11" s="100"/>
      <c r="F11" s="100"/>
      <c r="G11" s="100"/>
      <c r="H11" s="100"/>
      <c r="I11" s="101"/>
      <c r="J11" s="102" t="s">
        <v>11</v>
      </c>
      <c r="K11" s="100"/>
      <c r="L11" s="100"/>
      <c r="M11" s="100"/>
      <c r="N11" s="100"/>
      <c r="O11" s="100"/>
      <c r="P11" s="101"/>
      <c r="Q11" s="102" t="s">
        <v>12</v>
      </c>
      <c r="R11" s="101"/>
      <c r="S11" s="37"/>
      <c r="T11" s="102" t="s">
        <v>13</v>
      </c>
      <c r="U11" s="100"/>
      <c r="V11" s="100"/>
      <c r="W11" s="100"/>
      <c r="X11" s="100"/>
      <c r="Y11" s="101"/>
      <c r="Z11" s="38"/>
    </row>
    <row r="12" spans="1:26" ht="82.5" customHeight="1">
      <c r="A12" s="39" t="s">
        <v>14</v>
      </c>
      <c r="B12" s="40" t="s">
        <v>15</v>
      </c>
      <c r="C12" s="40" t="s">
        <v>16</v>
      </c>
      <c r="D12" s="41" t="s">
        <v>17</v>
      </c>
      <c r="E12" s="41" t="s">
        <v>18</v>
      </c>
      <c r="F12" s="41" t="s">
        <v>19</v>
      </c>
      <c r="G12" s="41" t="s">
        <v>20</v>
      </c>
      <c r="H12" s="41" t="s">
        <v>21</v>
      </c>
      <c r="I12" s="42" t="s">
        <v>22</v>
      </c>
      <c r="J12" s="41" t="s">
        <v>23</v>
      </c>
      <c r="K12" s="41" t="s">
        <v>24</v>
      </c>
      <c r="L12" s="41" t="s">
        <v>25</v>
      </c>
      <c r="M12" s="41" t="s">
        <v>26</v>
      </c>
      <c r="N12" s="41" t="s">
        <v>21</v>
      </c>
      <c r="O12" s="43" t="s">
        <v>27</v>
      </c>
      <c r="P12" s="42" t="s">
        <v>28</v>
      </c>
      <c r="Q12" s="44" t="s">
        <v>29</v>
      </c>
      <c r="R12" s="43" t="s">
        <v>30</v>
      </c>
      <c r="S12" s="45" t="s">
        <v>31</v>
      </c>
      <c r="T12" s="51" t="s">
        <v>179</v>
      </c>
      <c r="U12" s="51" t="s">
        <v>180</v>
      </c>
      <c r="V12" s="51" t="s">
        <v>181</v>
      </c>
      <c r="W12" s="44" t="s">
        <v>32</v>
      </c>
      <c r="X12" s="44" t="s">
        <v>33</v>
      </c>
      <c r="Y12" s="45" t="s">
        <v>34</v>
      </c>
      <c r="Z12" s="46" t="s">
        <v>35</v>
      </c>
    </row>
    <row r="13" spans="1:26" ht="24.95" customHeight="1">
      <c r="A13" s="30">
        <v>1</v>
      </c>
      <c r="B13" s="30" t="s">
        <v>77</v>
      </c>
      <c r="C13" s="31" t="s">
        <v>78</v>
      </c>
      <c r="D13" s="47">
        <v>5</v>
      </c>
      <c r="E13" s="34">
        <v>5</v>
      </c>
      <c r="F13" s="12">
        <v>5</v>
      </c>
      <c r="G13" s="8">
        <f>SUM(LARGE(D13:F13,{1,2}))</f>
        <v>10</v>
      </c>
      <c r="H13" s="8">
        <f>G13/2</f>
        <v>5</v>
      </c>
      <c r="I13" s="14">
        <f>ROUNDUP(H13,0)</f>
        <v>5</v>
      </c>
      <c r="J13" s="47">
        <v>25</v>
      </c>
      <c r="K13" s="47">
        <v>24</v>
      </c>
      <c r="L13" s="34">
        <v>23</v>
      </c>
      <c r="M13" s="8">
        <f>SUM(LARGE(J13:L13,{1,2}))</f>
        <v>49</v>
      </c>
      <c r="N13" s="8">
        <f>ROUNDUP(M13/50*5,1)</f>
        <v>4.9000000000000004</v>
      </c>
      <c r="O13" s="14">
        <f>ROUNDUP(N13,0)</f>
        <v>5</v>
      </c>
      <c r="P13" s="14">
        <v>5</v>
      </c>
      <c r="Q13" s="30" t="s">
        <v>178</v>
      </c>
      <c r="R13" s="17">
        <f>IF(Q13&gt;=95,5,IF(Q13&gt;=90,4,IF(Q13&gt;=85,3, IF(Q13&gt;=80,2,IF(Q13&gt;=75,1,0)))))</f>
        <v>5</v>
      </c>
      <c r="S13" s="18">
        <f>I13+O13+P13+R13</f>
        <v>20</v>
      </c>
      <c r="T13" s="47">
        <v>78</v>
      </c>
      <c r="U13" s="47">
        <v>70</v>
      </c>
      <c r="V13" s="82">
        <v>50</v>
      </c>
      <c r="W13" s="8">
        <f>SUM(LARGE(T13:V13,{1,2}))</f>
        <v>148</v>
      </c>
      <c r="X13" s="8">
        <f>W13/10</f>
        <v>14.8</v>
      </c>
      <c r="Y13" s="19">
        <f>ROUNDUP(X13,0)</f>
        <v>15</v>
      </c>
      <c r="Z13" s="20">
        <f>S13+Y13</f>
        <v>35</v>
      </c>
    </row>
    <row r="14" spans="1:26" ht="24.95" customHeight="1">
      <c r="A14" s="30">
        <v>2</v>
      </c>
      <c r="B14" s="30" t="s">
        <v>79</v>
      </c>
      <c r="C14" s="31" t="s">
        <v>80</v>
      </c>
      <c r="D14" s="47">
        <v>5</v>
      </c>
      <c r="E14" s="34">
        <v>5</v>
      </c>
      <c r="F14" s="12">
        <v>5</v>
      </c>
      <c r="G14" s="8">
        <f>SUM(LARGE(D14:F14,{1,2}))</f>
        <v>10</v>
      </c>
      <c r="H14" s="8">
        <f t="shared" ref="H14:H62" si="0">G14/2</f>
        <v>5</v>
      </c>
      <c r="I14" s="14">
        <f t="shared" ref="I14:I62" si="1">ROUNDUP(H14,0)</f>
        <v>5</v>
      </c>
      <c r="J14" s="47">
        <v>25</v>
      </c>
      <c r="K14" s="47">
        <v>25</v>
      </c>
      <c r="L14" s="34">
        <v>24</v>
      </c>
      <c r="M14" s="8">
        <f>SUM(LARGE(J14:L14,{1,2}))</f>
        <v>50</v>
      </c>
      <c r="N14" s="8">
        <f t="shared" ref="N14:N62" si="2">ROUNDUP(M14/50*5,1)</f>
        <v>5</v>
      </c>
      <c r="O14" s="14">
        <f t="shared" ref="O14:O62" si="3">ROUNDUP(N14,0)</f>
        <v>5</v>
      </c>
      <c r="P14" s="14">
        <v>5</v>
      </c>
      <c r="Q14" s="30">
        <v>87</v>
      </c>
      <c r="R14" s="17">
        <f t="shared" ref="R14:R62" si="4">IF(Q14&gt;=95,5,IF(Q14&gt;=90,4,IF(Q14&gt;=85,3, IF(Q14&gt;=80,2,IF(Q14&gt;=75,1,0)))))</f>
        <v>3</v>
      </c>
      <c r="S14" s="18">
        <f t="shared" ref="S14:S62" si="5">I14+O14+P14+R14</f>
        <v>18</v>
      </c>
      <c r="T14" s="47">
        <v>96</v>
      </c>
      <c r="U14" s="47">
        <v>94</v>
      </c>
      <c r="V14" s="82">
        <v>48</v>
      </c>
      <c r="W14" s="8">
        <f>SUM(LARGE(T14:V14,{1,2}))</f>
        <v>190</v>
      </c>
      <c r="X14" s="8">
        <f t="shared" ref="X14:X62" si="6">W14/10</f>
        <v>19</v>
      </c>
      <c r="Y14" s="19">
        <f t="shared" ref="Y14:Y62" si="7">ROUNDUP(X14,0)</f>
        <v>19</v>
      </c>
      <c r="Z14" s="20">
        <f t="shared" ref="Z14:Z62" si="8">S14+Y14</f>
        <v>37</v>
      </c>
    </row>
    <row r="15" spans="1:26" ht="24.95" customHeight="1">
      <c r="A15" s="30">
        <v>3</v>
      </c>
      <c r="B15" s="30" t="s">
        <v>81</v>
      </c>
      <c r="C15" s="31" t="s">
        <v>82</v>
      </c>
      <c r="D15" s="47">
        <v>5</v>
      </c>
      <c r="E15" s="34">
        <v>5</v>
      </c>
      <c r="F15" s="12">
        <v>4</v>
      </c>
      <c r="G15" s="8">
        <f>SUM(LARGE(D15:F15,{1,2}))</f>
        <v>10</v>
      </c>
      <c r="H15" s="8">
        <f t="shared" si="0"/>
        <v>5</v>
      </c>
      <c r="I15" s="14">
        <f t="shared" si="1"/>
        <v>5</v>
      </c>
      <c r="J15" s="47">
        <v>25</v>
      </c>
      <c r="K15" s="47">
        <v>23</v>
      </c>
      <c r="L15" s="34">
        <v>23</v>
      </c>
      <c r="M15" s="8">
        <f>SUM(LARGE(J15:L15,{1,2}))</f>
        <v>48</v>
      </c>
      <c r="N15" s="8">
        <f t="shared" si="2"/>
        <v>4.8</v>
      </c>
      <c r="O15" s="14">
        <f t="shared" si="3"/>
        <v>5</v>
      </c>
      <c r="P15" s="14">
        <v>5</v>
      </c>
      <c r="Q15" s="30">
        <v>93</v>
      </c>
      <c r="R15" s="17">
        <f t="shared" si="4"/>
        <v>4</v>
      </c>
      <c r="S15" s="18">
        <f t="shared" si="5"/>
        <v>19</v>
      </c>
      <c r="T15" s="47">
        <v>52</v>
      </c>
      <c r="U15" s="47">
        <v>70</v>
      </c>
      <c r="V15" s="82">
        <v>13</v>
      </c>
      <c r="W15" s="8">
        <f>SUM(LARGE(T15:V15,{1,2}))</f>
        <v>122</v>
      </c>
      <c r="X15" s="8">
        <f t="shared" si="6"/>
        <v>12.2</v>
      </c>
      <c r="Y15" s="19">
        <f t="shared" si="7"/>
        <v>13</v>
      </c>
      <c r="Z15" s="20">
        <f t="shared" si="8"/>
        <v>32</v>
      </c>
    </row>
    <row r="16" spans="1:26" ht="24.95" customHeight="1">
      <c r="A16" s="30">
        <v>4</v>
      </c>
      <c r="B16" s="30" t="s">
        <v>83</v>
      </c>
      <c r="C16" s="31" t="s">
        <v>84</v>
      </c>
      <c r="D16" s="47">
        <v>5</v>
      </c>
      <c r="E16" s="34">
        <v>5</v>
      </c>
      <c r="F16" s="12">
        <v>4</v>
      </c>
      <c r="G16" s="8">
        <f>SUM(LARGE(D16:F16,{1,2}))</f>
        <v>10</v>
      </c>
      <c r="H16" s="8">
        <f t="shared" si="0"/>
        <v>5</v>
      </c>
      <c r="I16" s="14">
        <f t="shared" si="1"/>
        <v>5</v>
      </c>
      <c r="J16" s="47">
        <v>25</v>
      </c>
      <c r="K16" s="47">
        <v>24</v>
      </c>
      <c r="L16" s="34">
        <v>22</v>
      </c>
      <c r="M16" s="8">
        <f>SUM(LARGE(J16:L16,{1,2}))</f>
        <v>49</v>
      </c>
      <c r="N16" s="8">
        <f t="shared" si="2"/>
        <v>4.9000000000000004</v>
      </c>
      <c r="O16" s="14">
        <f t="shared" si="3"/>
        <v>5</v>
      </c>
      <c r="P16" s="14">
        <v>5</v>
      </c>
      <c r="Q16" s="30">
        <v>89</v>
      </c>
      <c r="R16" s="17">
        <f t="shared" si="4"/>
        <v>3</v>
      </c>
      <c r="S16" s="18">
        <f t="shared" si="5"/>
        <v>18</v>
      </c>
      <c r="T16" s="47">
        <v>72</v>
      </c>
      <c r="U16" s="47">
        <v>66</v>
      </c>
      <c r="V16" s="82" t="s">
        <v>177</v>
      </c>
      <c r="W16" s="8">
        <f>SUM(LARGE(T16:V16,{1,2}))</f>
        <v>138</v>
      </c>
      <c r="X16" s="8">
        <f t="shared" si="6"/>
        <v>13.8</v>
      </c>
      <c r="Y16" s="19">
        <f t="shared" si="7"/>
        <v>14</v>
      </c>
      <c r="Z16" s="20">
        <f t="shared" si="8"/>
        <v>32</v>
      </c>
    </row>
    <row r="17" spans="1:26" ht="24.95" customHeight="1">
      <c r="A17" s="30">
        <v>5</v>
      </c>
      <c r="B17" s="30" t="s">
        <v>85</v>
      </c>
      <c r="C17" s="31" t="s">
        <v>86</v>
      </c>
      <c r="D17" s="47">
        <v>5</v>
      </c>
      <c r="E17" s="34">
        <v>5</v>
      </c>
      <c r="F17" s="12">
        <v>5</v>
      </c>
      <c r="G17" s="8">
        <f>SUM(LARGE(D17:F17,{1,2}))</f>
        <v>10</v>
      </c>
      <c r="H17" s="8">
        <f t="shared" si="0"/>
        <v>5</v>
      </c>
      <c r="I17" s="14">
        <f t="shared" si="1"/>
        <v>5</v>
      </c>
      <c r="J17" s="47">
        <v>25</v>
      </c>
      <c r="K17" s="47">
        <v>23</v>
      </c>
      <c r="L17" s="34">
        <v>24</v>
      </c>
      <c r="M17" s="8">
        <f>SUM(LARGE(J17:L17,{1,2}))</f>
        <v>49</v>
      </c>
      <c r="N17" s="8">
        <f t="shared" si="2"/>
        <v>4.9000000000000004</v>
      </c>
      <c r="O17" s="14">
        <f t="shared" si="3"/>
        <v>5</v>
      </c>
      <c r="P17" s="14">
        <v>5</v>
      </c>
      <c r="Q17" s="30">
        <v>83</v>
      </c>
      <c r="R17" s="17">
        <f t="shared" si="4"/>
        <v>2</v>
      </c>
      <c r="S17" s="18">
        <f t="shared" si="5"/>
        <v>17</v>
      </c>
      <c r="T17" s="47">
        <v>88</v>
      </c>
      <c r="U17" s="47">
        <v>30</v>
      </c>
      <c r="V17" s="82">
        <v>70</v>
      </c>
      <c r="W17" s="8">
        <f>SUM(LARGE(T17:V17,{1,2}))</f>
        <v>158</v>
      </c>
      <c r="X17" s="8">
        <f t="shared" si="6"/>
        <v>15.8</v>
      </c>
      <c r="Y17" s="19">
        <f t="shared" si="7"/>
        <v>16</v>
      </c>
      <c r="Z17" s="20">
        <f t="shared" si="8"/>
        <v>33</v>
      </c>
    </row>
    <row r="18" spans="1:26" ht="24.95" customHeight="1">
      <c r="A18" s="30">
        <v>6</v>
      </c>
      <c r="B18" s="30" t="s">
        <v>87</v>
      </c>
      <c r="C18" s="31" t="s">
        <v>88</v>
      </c>
      <c r="D18" s="47">
        <v>5</v>
      </c>
      <c r="E18" s="34">
        <v>5</v>
      </c>
      <c r="F18" s="12">
        <v>5</v>
      </c>
      <c r="G18" s="8">
        <f>SUM(LARGE(D18:F18,{1,2}))</f>
        <v>10</v>
      </c>
      <c r="H18" s="8">
        <f t="shared" si="0"/>
        <v>5</v>
      </c>
      <c r="I18" s="14">
        <f t="shared" si="1"/>
        <v>5</v>
      </c>
      <c r="J18" s="47">
        <v>25</v>
      </c>
      <c r="K18" s="47">
        <v>23</v>
      </c>
      <c r="L18" s="34">
        <v>24</v>
      </c>
      <c r="M18" s="8">
        <f>SUM(LARGE(J18:L18,{1,2}))</f>
        <v>49</v>
      </c>
      <c r="N18" s="8">
        <f t="shared" si="2"/>
        <v>4.9000000000000004</v>
      </c>
      <c r="O18" s="14">
        <f t="shared" si="3"/>
        <v>5</v>
      </c>
      <c r="P18" s="14">
        <v>5</v>
      </c>
      <c r="Q18" s="30">
        <v>91</v>
      </c>
      <c r="R18" s="17">
        <f t="shared" si="4"/>
        <v>4</v>
      </c>
      <c r="S18" s="18">
        <f t="shared" si="5"/>
        <v>19</v>
      </c>
      <c r="T18" s="47">
        <v>84</v>
      </c>
      <c r="U18" s="47">
        <v>88</v>
      </c>
      <c r="V18" s="82">
        <v>75</v>
      </c>
      <c r="W18" s="8">
        <f>SUM(LARGE(T18:V18,{1,2}))</f>
        <v>172</v>
      </c>
      <c r="X18" s="8">
        <f t="shared" si="6"/>
        <v>17.2</v>
      </c>
      <c r="Y18" s="19">
        <f t="shared" si="7"/>
        <v>18</v>
      </c>
      <c r="Z18" s="20">
        <f t="shared" si="8"/>
        <v>37</v>
      </c>
    </row>
    <row r="19" spans="1:26" ht="24.95" customHeight="1">
      <c r="A19" s="30">
        <v>7</v>
      </c>
      <c r="B19" s="30" t="s">
        <v>89</v>
      </c>
      <c r="C19" s="31" t="s">
        <v>90</v>
      </c>
      <c r="D19" s="47">
        <v>5</v>
      </c>
      <c r="E19" s="34">
        <v>5</v>
      </c>
      <c r="F19" s="12">
        <v>5</v>
      </c>
      <c r="G19" s="8">
        <f>SUM(LARGE(D19:F19,{1,2}))</f>
        <v>10</v>
      </c>
      <c r="H19" s="8">
        <f t="shared" si="0"/>
        <v>5</v>
      </c>
      <c r="I19" s="14">
        <f t="shared" si="1"/>
        <v>5</v>
      </c>
      <c r="J19" s="47">
        <v>24</v>
      </c>
      <c r="K19" s="47">
        <v>24</v>
      </c>
      <c r="L19" s="34">
        <v>23</v>
      </c>
      <c r="M19" s="8">
        <f>SUM(LARGE(J19:L19,{1,2}))</f>
        <v>48</v>
      </c>
      <c r="N19" s="8">
        <f t="shared" si="2"/>
        <v>4.8</v>
      </c>
      <c r="O19" s="14">
        <f t="shared" si="3"/>
        <v>5</v>
      </c>
      <c r="P19" s="14">
        <v>5</v>
      </c>
      <c r="Q19" s="30">
        <v>92</v>
      </c>
      <c r="R19" s="17">
        <f t="shared" si="4"/>
        <v>4</v>
      </c>
      <c r="S19" s="18">
        <f t="shared" si="5"/>
        <v>19</v>
      </c>
      <c r="T19" s="47">
        <v>92</v>
      </c>
      <c r="U19" s="47">
        <v>90</v>
      </c>
      <c r="V19" s="82">
        <v>78</v>
      </c>
      <c r="W19" s="8">
        <f>SUM(LARGE(T19:V19,{1,2}))</f>
        <v>182</v>
      </c>
      <c r="X19" s="8">
        <f t="shared" si="6"/>
        <v>18.2</v>
      </c>
      <c r="Y19" s="19">
        <f t="shared" si="7"/>
        <v>19</v>
      </c>
      <c r="Z19" s="20">
        <f t="shared" si="8"/>
        <v>38</v>
      </c>
    </row>
    <row r="20" spans="1:26" ht="24.95" customHeight="1">
      <c r="A20" s="30">
        <v>8</v>
      </c>
      <c r="B20" s="30" t="s">
        <v>91</v>
      </c>
      <c r="C20" s="31" t="s">
        <v>92</v>
      </c>
      <c r="D20" s="47">
        <v>5</v>
      </c>
      <c r="E20" s="34">
        <v>5</v>
      </c>
      <c r="F20" s="12">
        <v>5</v>
      </c>
      <c r="G20" s="8">
        <f>SUM(LARGE(D20:F20,{1,2}))</f>
        <v>10</v>
      </c>
      <c r="H20" s="8">
        <f t="shared" si="0"/>
        <v>5</v>
      </c>
      <c r="I20" s="14">
        <f t="shared" si="1"/>
        <v>5</v>
      </c>
      <c r="J20" s="47">
        <v>25</v>
      </c>
      <c r="K20" s="47">
        <v>25</v>
      </c>
      <c r="L20" s="34">
        <v>25</v>
      </c>
      <c r="M20" s="8">
        <f>SUM(LARGE(J20:L20,{1,2}))</f>
        <v>50</v>
      </c>
      <c r="N20" s="8">
        <f t="shared" si="2"/>
        <v>5</v>
      </c>
      <c r="O20" s="14">
        <f t="shared" si="3"/>
        <v>5</v>
      </c>
      <c r="P20" s="14">
        <v>5</v>
      </c>
      <c r="Q20" s="30">
        <v>91</v>
      </c>
      <c r="R20" s="17">
        <f t="shared" si="4"/>
        <v>4</v>
      </c>
      <c r="S20" s="18">
        <f t="shared" si="5"/>
        <v>19</v>
      </c>
      <c r="T20" s="47">
        <v>94</v>
      </c>
      <c r="U20" s="47">
        <v>94</v>
      </c>
      <c r="V20" s="82">
        <v>83</v>
      </c>
      <c r="W20" s="8">
        <f>SUM(LARGE(T20:V20,{1,2}))</f>
        <v>188</v>
      </c>
      <c r="X20" s="8">
        <f t="shared" si="6"/>
        <v>18.8</v>
      </c>
      <c r="Y20" s="19">
        <f t="shared" si="7"/>
        <v>19</v>
      </c>
      <c r="Z20" s="20">
        <f t="shared" si="8"/>
        <v>38</v>
      </c>
    </row>
    <row r="21" spans="1:26" ht="24.95" customHeight="1">
      <c r="A21" s="30">
        <v>9</v>
      </c>
      <c r="B21" s="30" t="s">
        <v>93</v>
      </c>
      <c r="C21" s="31" t="s">
        <v>94</v>
      </c>
      <c r="D21" s="47">
        <v>5</v>
      </c>
      <c r="E21" s="34">
        <v>5</v>
      </c>
      <c r="F21" s="12">
        <v>5</v>
      </c>
      <c r="G21" s="8">
        <f>SUM(LARGE(D21:F21,{1,2}))</f>
        <v>10</v>
      </c>
      <c r="H21" s="8">
        <f t="shared" si="0"/>
        <v>5</v>
      </c>
      <c r="I21" s="14">
        <f t="shared" si="1"/>
        <v>5</v>
      </c>
      <c r="J21" s="47">
        <v>25</v>
      </c>
      <c r="K21" s="47">
        <v>24</v>
      </c>
      <c r="L21" s="34">
        <v>23</v>
      </c>
      <c r="M21" s="8">
        <f>SUM(LARGE(J21:L21,{1,2}))</f>
        <v>49</v>
      </c>
      <c r="N21" s="8">
        <f t="shared" si="2"/>
        <v>4.9000000000000004</v>
      </c>
      <c r="O21" s="14">
        <f t="shared" si="3"/>
        <v>5</v>
      </c>
      <c r="P21" s="14">
        <v>5</v>
      </c>
      <c r="Q21" s="30">
        <v>98</v>
      </c>
      <c r="R21" s="17">
        <f t="shared" si="4"/>
        <v>5</v>
      </c>
      <c r="S21" s="18">
        <f t="shared" si="5"/>
        <v>20</v>
      </c>
      <c r="T21" s="47">
        <v>70</v>
      </c>
      <c r="U21" s="47">
        <v>28</v>
      </c>
      <c r="V21" s="82">
        <v>48</v>
      </c>
      <c r="W21" s="8">
        <f>SUM(LARGE(T21:V21,{1,2}))</f>
        <v>118</v>
      </c>
      <c r="X21" s="8">
        <f t="shared" si="6"/>
        <v>11.8</v>
      </c>
      <c r="Y21" s="19">
        <f t="shared" si="7"/>
        <v>12</v>
      </c>
      <c r="Z21" s="20">
        <f t="shared" si="8"/>
        <v>32</v>
      </c>
    </row>
    <row r="22" spans="1:26" ht="24.95" customHeight="1">
      <c r="A22" s="30">
        <v>10</v>
      </c>
      <c r="B22" s="30" t="s">
        <v>95</v>
      </c>
      <c r="C22" s="31" t="s">
        <v>96</v>
      </c>
      <c r="D22" s="47">
        <v>5</v>
      </c>
      <c r="E22" s="34">
        <v>5</v>
      </c>
      <c r="F22" s="12">
        <v>4</v>
      </c>
      <c r="G22" s="8">
        <f>SUM(LARGE(D22:F22,{1,2}))</f>
        <v>10</v>
      </c>
      <c r="H22" s="8">
        <f t="shared" si="0"/>
        <v>5</v>
      </c>
      <c r="I22" s="14">
        <f t="shared" si="1"/>
        <v>5</v>
      </c>
      <c r="J22" s="47">
        <v>25</v>
      </c>
      <c r="K22" s="47">
        <v>23</v>
      </c>
      <c r="L22" s="34">
        <v>22</v>
      </c>
      <c r="M22" s="8">
        <f>SUM(LARGE(J22:L22,{1,2}))</f>
        <v>48</v>
      </c>
      <c r="N22" s="8">
        <f t="shared" si="2"/>
        <v>4.8</v>
      </c>
      <c r="O22" s="14">
        <f t="shared" si="3"/>
        <v>5</v>
      </c>
      <c r="P22" s="14">
        <v>5</v>
      </c>
      <c r="Q22" s="30">
        <v>88</v>
      </c>
      <c r="R22" s="17">
        <f t="shared" si="4"/>
        <v>3</v>
      </c>
      <c r="S22" s="18">
        <f t="shared" si="5"/>
        <v>18</v>
      </c>
      <c r="T22" s="47">
        <v>50</v>
      </c>
      <c r="U22" s="47">
        <v>74</v>
      </c>
      <c r="V22" s="82">
        <v>30</v>
      </c>
      <c r="W22" s="8">
        <f>SUM(LARGE(T22:V22,{1,2}))</f>
        <v>124</v>
      </c>
      <c r="X22" s="8">
        <f t="shared" si="6"/>
        <v>12.4</v>
      </c>
      <c r="Y22" s="19">
        <f t="shared" si="7"/>
        <v>13</v>
      </c>
      <c r="Z22" s="20">
        <f t="shared" si="8"/>
        <v>31</v>
      </c>
    </row>
    <row r="23" spans="1:26" ht="24.95" customHeight="1">
      <c r="A23" s="30">
        <v>11</v>
      </c>
      <c r="B23" s="30" t="s">
        <v>97</v>
      </c>
      <c r="C23" s="31" t="s">
        <v>98</v>
      </c>
      <c r="D23" s="47">
        <v>5</v>
      </c>
      <c r="E23" s="34">
        <v>5</v>
      </c>
      <c r="F23" s="12">
        <v>4</v>
      </c>
      <c r="G23" s="8">
        <f>SUM(LARGE(D23:F23,{1,2}))</f>
        <v>10</v>
      </c>
      <c r="H23" s="8">
        <f t="shared" si="0"/>
        <v>5</v>
      </c>
      <c r="I23" s="14">
        <f t="shared" si="1"/>
        <v>5</v>
      </c>
      <c r="J23" s="47" t="s">
        <v>177</v>
      </c>
      <c r="K23" s="47">
        <v>22</v>
      </c>
      <c r="L23" s="34">
        <v>20</v>
      </c>
      <c r="M23" s="8">
        <f>SUM(LARGE(J23:L23,{1,2}))</f>
        <v>42</v>
      </c>
      <c r="N23" s="8">
        <f t="shared" si="2"/>
        <v>4.2</v>
      </c>
      <c r="O23" s="14">
        <f t="shared" si="3"/>
        <v>5</v>
      </c>
      <c r="P23" s="14">
        <v>5</v>
      </c>
      <c r="Q23" s="30">
        <v>82</v>
      </c>
      <c r="R23" s="17">
        <f t="shared" si="4"/>
        <v>2</v>
      </c>
      <c r="S23" s="18">
        <f t="shared" si="5"/>
        <v>17</v>
      </c>
      <c r="T23" s="47">
        <v>64</v>
      </c>
      <c r="U23" s="47">
        <v>64</v>
      </c>
      <c r="V23" s="82">
        <v>30</v>
      </c>
      <c r="W23" s="8">
        <f>SUM(LARGE(T23:V23,{1,2}))</f>
        <v>128</v>
      </c>
      <c r="X23" s="8">
        <f t="shared" si="6"/>
        <v>12.8</v>
      </c>
      <c r="Y23" s="19">
        <f t="shared" si="7"/>
        <v>13</v>
      </c>
      <c r="Z23" s="20">
        <f t="shared" si="8"/>
        <v>30</v>
      </c>
    </row>
    <row r="24" spans="1:26" ht="24.95" customHeight="1">
      <c r="A24" s="30">
        <v>12</v>
      </c>
      <c r="B24" s="30" t="s">
        <v>99</v>
      </c>
      <c r="C24" s="31" t="s">
        <v>100</v>
      </c>
      <c r="D24" s="47">
        <v>5</v>
      </c>
      <c r="E24" s="34">
        <v>5</v>
      </c>
      <c r="F24" s="12">
        <v>5</v>
      </c>
      <c r="G24" s="8">
        <f>SUM(LARGE(D24:F24,{1,2}))</f>
        <v>10</v>
      </c>
      <c r="H24" s="8">
        <f t="shared" si="0"/>
        <v>5</v>
      </c>
      <c r="I24" s="14">
        <f t="shared" si="1"/>
        <v>5</v>
      </c>
      <c r="J24" s="47">
        <v>25</v>
      </c>
      <c r="K24" s="47">
        <v>24</v>
      </c>
      <c r="L24" s="34">
        <v>23</v>
      </c>
      <c r="M24" s="8">
        <f>SUM(LARGE(J24:L24,{1,2}))</f>
        <v>49</v>
      </c>
      <c r="N24" s="8">
        <f t="shared" si="2"/>
        <v>4.9000000000000004</v>
      </c>
      <c r="O24" s="14">
        <f t="shared" si="3"/>
        <v>5</v>
      </c>
      <c r="P24" s="14">
        <v>5</v>
      </c>
      <c r="Q24" s="30">
        <v>86</v>
      </c>
      <c r="R24" s="17">
        <f t="shared" si="4"/>
        <v>3</v>
      </c>
      <c r="S24" s="18">
        <f t="shared" si="5"/>
        <v>18</v>
      </c>
      <c r="T24" s="47">
        <v>74</v>
      </c>
      <c r="U24" s="47">
        <v>80</v>
      </c>
      <c r="V24" s="82">
        <v>75</v>
      </c>
      <c r="W24" s="8">
        <f>SUM(LARGE(T24:V24,{1,2}))</f>
        <v>155</v>
      </c>
      <c r="X24" s="8">
        <f t="shared" si="6"/>
        <v>15.5</v>
      </c>
      <c r="Y24" s="19">
        <f t="shared" si="7"/>
        <v>16</v>
      </c>
      <c r="Z24" s="20">
        <f t="shared" si="8"/>
        <v>34</v>
      </c>
    </row>
    <row r="25" spans="1:26" ht="24.95" customHeight="1">
      <c r="A25" s="30">
        <v>13</v>
      </c>
      <c r="B25" s="30" t="s">
        <v>101</v>
      </c>
      <c r="C25" s="31" t="s">
        <v>102</v>
      </c>
      <c r="D25" s="47">
        <v>5</v>
      </c>
      <c r="E25" s="34">
        <v>5</v>
      </c>
      <c r="F25" s="12">
        <v>4</v>
      </c>
      <c r="G25" s="8">
        <f>SUM(LARGE(D25:F25,{1,2}))</f>
        <v>10</v>
      </c>
      <c r="H25" s="8">
        <f t="shared" si="0"/>
        <v>5</v>
      </c>
      <c r="I25" s="14">
        <f t="shared" si="1"/>
        <v>5</v>
      </c>
      <c r="J25" s="47">
        <v>25</v>
      </c>
      <c r="K25" s="47">
        <v>23</v>
      </c>
      <c r="L25" s="34">
        <v>20</v>
      </c>
      <c r="M25" s="8">
        <f>SUM(LARGE(J25:L25,{1,2}))</f>
        <v>48</v>
      </c>
      <c r="N25" s="8">
        <f t="shared" si="2"/>
        <v>4.8</v>
      </c>
      <c r="O25" s="14">
        <f t="shared" si="3"/>
        <v>5</v>
      </c>
      <c r="P25" s="14">
        <v>5</v>
      </c>
      <c r="Q25" s="48">
        <v>71</v>
      </c>
      <c r="R25" s="17">
        <f t="shared" si="4"/>
        <v>0</v>
      </c>
      <c r="S25" s="18">
        <f t="shared" si="5"/>
        <v>15</v>
      </c>
      <c r="T25" s="47">
        <v>68</v>
      </c>
      <c r="U25" s="47">
        <v>58</v>
      </c>
      <c r="V25" s="82">
        <v>50</v>
      </c>
      <c r="W25" s="8">
        <f>SUM(LARGE(T25:V25,{1,2}))</f>
        <v>126</v>
      </c>
      <c r="X25" s="8">
        <f t="shared" si="6"/>
        <v>12.6</v>
      </c>
      <c r="Y25" s="19">
        <f t="shared" si="7"/>
        <v>13</v>
      </c>
      <c r="Z25" s="20">
        <f t="shared" si="8"/>
        <v>28</v>
      </c>
    </row>
    <row r="26" spans="1:26" ht="24.95" customHeight="1">
      <c r="A26" s="30">
        <v>14</v>
      </c>
      <c r="B26" s="30" t="s">
        <v>103</v>
      </c>
      <c r="C26" s="31" t="s">
        <v>104</v>
      </c>
      <c r="D26" s="47">
        <v>5</v>
      </c>
      <c r="E26" s="34">
        <v>5</v>
      </c>
      <c r="F26" s="12">
        <v>5</v>
      </c>
      <c r="G26" s="8">
        <f>SUM(LARGE(D26:F26,{1,2}))</f>
        <v>10</v>
      </c>
      <c r="H26" s="8">
        <f t="shared" si="0"/>
        <v>5</v>
      </c>
      <c r="I26" s="14">
        <f t="shared" si="1"/>
        <v>5</v>
      </c>
      <c r="J26" s="47">
        <v>24</v>
      </c>
      <c r="K26" s="47">
        <v>25</v>
      </c>
      <c r="L26" s="34">
        <v>24</v>
      </c>
      <c r="M26" s="8">
        <f>SUM(LARGE(J26:L26,{1,2}))</f>
        <v>49</v>
      </c>
      <c r="N26" s="8">
        <f t="shared" si="2"/>
        <v>4.9000000000000004</v>
      </c>
      <c r="O26" s="14">
        <f t="shared" si="3"/>
        <v>5</v>
      </c>
      <c r="P26" s="14">
        <v>5</v>
      </c>
      <c r="Q26" s="30">
        <v>97</v>
      </c>
      <c r="R26" s="17">
        <f t="shared" si="4"/>
        <v>5</v>
      </c>
      <c r="S26" s="18">
        <f t="shared" si="5"/>
        <v>20</v>
      </c>
      <c r="T26" s="47">
        <v>96</v>
      </c>
      <c r="U26" s="47">
        <v>96</v>
      </c>
      <c r="V26" s="82">
        <v>90</v>
      </c>
      <c r="W26" s="8">
        <f>SUM(LARGE(T26:V26,{1,2}))</f>
        <v>192</v>
      </c>
      <c r="X26" s="8">
        <f t="shared" si="6"/>
        <v>19.2</v>
      </c>
      <c r="Y26" s="19">
        <f t="shared" si="7"/>
        <v>20</v>
      </c>
      <c r="Z26" s="20">
        <f t="shared" si="8"/>
        <v>40</v>
      </c>
    </row>
    <row r="27" spans="1:26" ht="24.95" customHeight="1">
      <c r="A27" s="30">
        <v>15</v>
      </c>
      <c r="B27" s="30" t="s">
        <v>105</v>
      </c>
      <c r="C27" s="31" t="s">
        <v>106</v>
      </c>
      <c r="D27" s="47">
        <v>5</v>
      </c>
      <c r="E27" s="34">
        <v>5</v>
      </c>
      <c r="F27" s="12">
        <v>5</v>
      </c>
      <c r="G27" s="8">
        <f>SUM(LARGE(D27:F27,{1,2}))</f>
        <v>10</v>
      </c>
      <c r="H27" s="8">
        <f t="shared" si="0"/>
        <v>5</v>
      </c>
      <c r="I27" s="14">
        <f t="shared" si="1"/>
        <v>5</v>
      </c>
      <c r="J27" s="47">
        <v>25</v>
      </c>
      <c r="K27" s="47">
        <v>25</v>
      </c>
      <c r="L27" s="34">
        <v>23</v>
      </c>
      <c r="M27" s="8">
        <f>SUM(LARGE(J27:L27,{1,2}))</f>
        <v>50</v>
      </c>
      <c r="N27" s="8">
        <f t="shared" si="2"/>
        <v>5</v>
      </c>
      <c r="O27" s="14">
        <f t="shared" si="3"/>
        <v>5</v>
      </c>
      <c r="P27" s="14">
        <v>5</v>
      </c>
      <c r="Q27" s="30">
        <v>86</v>
      </c>
      <c r="R27" s="17">
        <f t="shared" si="4"/>
        <v>3</v>
      </c>
      <c r="S27" s="18">
        <f t="shared" si="5"/>
        <v>18</v>
      </c>
      <c r="T27" s="47">
        <v>64</v>
      </c>
      <c r="U27" s="47">
        <v>82</v>
      </c>
      <c r="V27" s="82">
        <v>78</v>
      </c>
      <c r="W27" s="8">
        <f>SUM(LARGE(T27:V27,{1,2}))</f>
        <v>160</v>
      </c>
      <c r="X27" s="8">
        <f t="shared" si="6"/>
        <v>16</v>
      </c>
      <c r="Y27" s="19">
        <f t="shared" si="7"/>
        <v>16</v>
      </c>
      <c r="Z27" s="20">
        <f t="shared" si="8"/>
        <v>34</v>
      </c>
    </row>
    <row r="28" spans="1:26" ht="24.95" customHeight="1">
      <c r="A28" s="30">
        <v>16</v>
      </c>
      <c r="B28" s="30" t="s">
        <v>107</v>
      </c>
      <c r="C28" s="31" t="s">
        <v>108</v>
      </c>
      <c r="D28" s="47">
        <v>5</v>
      </c>
      <c r="E28" s="34">
        <v>5</v>
      </c>
      <c r="F28" s="12">
        <v>4</v>
      </c>
      <c r="G28" s="8">
        <f>SUM(LARGE(D28:F28,{1,2}))</f>
        <v>10</v>
      </c>
      <c r="H28" s="8">
        <f t="shared" si="0"/>
        <v>5</v>
      </c>
      <c r="I28" s="14">
        <f t="shared" si="1"/>
        <v>5</v>
      </c>
      <c r="J28" s="47" t="s">
        <v>177</v>
      </c>
      <c r="K28" s="47">
        <v>22</v>
      </c>
      <c r="L28" s="34">
        <v>20</v>
      </c>
      <c r="M28" s="8">
        <f>SUM(LARGE(J28:L28,{1,2}))</f>
        <v>42</v>
      </c>
      <c r="N28" s="8">
        <f t="shared" si="2"/>
        <v>4.2</v>
      </c>
      <c r="O28" s="14">
        <f t="shared" si="3"/>
        <v>5</v>
      </c>
      <c r="P28" s="14">
        <v>5</v>
      </c>
      <c r="Q28" s="48">
        <v>73</v>
      </c>
      <c r="R28" s="17">
        <f t="shared" si="4"/>
        <v>0</v>
      </c>
      <c r="S28" s="18">
        <f t="shared" si="5"/>
        <v>15</v>
      </c>
      <c r="T28" s="47">
        <v>44</v>
      </c>
      <c r="U28" s="49" t="s">
        <v>177</v>
      </c>
      <c r="V28" s="82">
        <v>45</v>
      </c>
      <c r="W28" s="8">
        <f>SUM(LARGE(T28:V28,{1,2}))</f>
        <v>89</v>
      </c>
      <c r="X28" s="8">
        <f t="shared" si="6"/>
        <v>8.9</v>
      </c>
      <c r="Y28" s="19">
        <f t="shared" si="7"/>
        <v>9</v>
      </c>
      <c r="Z28" s="20">
        <f t="shared" si="8"/>
        <v>24</v>
      </c>
    </row>
    <row r="29" spans="1:26" ht="24.95" customHeight="1">
      <c r="A29" s="30">
        <v>17</v>
      </c>
      <c r="B29" s="30" t="s">
        <v>109</v>
      </c>
      <c r="C29" s="31" t="s">
        <v>110</v>
      </c>
      <c r="D29" s="47">
        <v>5</v>
      </c>
      <c r="E29" s="34">
        <v>5</v>
      </c>
      <c r="F29" s="12">
        <v>5</v>
      </c>
      <c r="G29" s="8">
        <f>SUM(LARGE(D29:F29,{1,2}))</f>
        <v>10</v>
      </c>
      <c r="H29" s="8">
        <f t="shared" si="0"/>
        <v>5</v>
      </c>
      <c r="I29" s="14">
        <f t="shared" si="1"/>
        <v>5</v>
      </c>
      <c r="J29" s="47">
        <v>25</v>
      </c>
      <c r="K29" s="47">
        <v>25</v>
      </c>
      <c r="L29" s="34">
        <v>25</v>
      </c>
      <c r="M29" s="8">
        <f>SUM(LARGE(J29:L29,{1,2}))</f>
        <v>50</v>
      </c>
      <c r="N29" s="8">
        <f t="shared" si="2"/>
        <v>5</v>
      </c>
      <c r="O29" s="14">
        <f t="shared" si="3"/>
        <v>5</v>
      </c>
      <c r="P29" s="14">
        <v>5</v>
      </c>
      <c r="Q29" s="30">
        <v>91</v>
      </c>
      <c r="R29" s="17">
        <f t="shared" si="4"/>
        <v>4</v>
      </c>
      <c r="S29" s="18">
        <f t="shared" si="5"/>
        <v>19</v>
      </c>
      <c r="T29" s="47">
        <v>84</v>
      </c>
      <c r="U29" s="47">
        <v>90</v>
      </c>
      <c r="V29" s="82">
        <v>45</v>
      </c>
      <c r="W29" s="8">
        <f>SUM(LARGE(T29:V29,{1,2}))</f>
        <v>174</v>
      </c>
      <c r="X29" s="8">
        <f t="shared" si="6"/>
        <v>17.399999999999999</v>
      </c>
      <c r="Y29" s="19">
        <f t="shared" si="7"/>
        <v>18</v>
      </c>
      <c r="Z29" s="20">
        <f t="shared" si="8"/>
        <v>37</v>
      </c>
    </row>
    <row r="30" spans="1:26" ht="24.95" customHeight="1">
      <c r="A30" s="30">
        <v>18</v>
      </c>
      <c r="B30" s="30" t="s">
        <v>111</v>
      </c>
      <c r="C30" s="31" t="s">
        <v>112</v>
      </c>
      <c r="D30" s="47">
        <v>5</v>
      </c>
      <c r="E30" s="34">
        <v>5</v>
      </c>
      <c r="F30" s="12">
        <v>5</v>
      </c>
      <c r="G30" s="8">
        <f>SUM(LARGE(D30:F30,{1,2}))</f>
        <v>10</v>
      </c>
      <c r="H30" s="8">
        <f t="shared" si="0"/>
        <v>5</v>
      </c>
      <c r="I30" s="14">
        <f t="shared" si="1"/>
        <v>5</v>
      </c>
      <c r="J30" s="47">
        <v>23</v>
      </c>
      <c r="K30" s="47">
        <v>25</v>
      </c>
      <c r="L30" s="34">
        <v>25</v>
      </c>
      <c r="M30" s="8">
        <f>SUM(LARGE(J30:L30,{1,2}))</f>
        <v>50</v>
      </c>
      <c r="N30" s="8">
        <f t="shared" si="2"/>
        <v>5</v>
      </c>
      <c r="O30" s="14">
        <f t="shared" si="3"/>
        <v>5</v>
      </c>
      <c r="P30" s="14">
        <v>5</v>
      </c>
      <c r="Q30" s="30">
        <v>84</v>
      </c>
      <c r="R30" s="17">
        <f t="shared" si="4"/>
        <v>2</v>
      </c>
      <c r="S30" s="18">
        <f t="shared" si="5"/>
        <v>17</v>
      </c>
      <c r="T30" s="47">
        <v>74</v>
      </c>
      <c r="U30" s="47">
        <v>88</v>
      </c>
      <c r="V30" s="82">
        <v>60</v>
      </c>
      <c r="W30" s="8">
        <f>SUM(LARGE(T30:V30,{1,2}))</f>
        <v>162</v>
      </c>
      <c r="X30" s="8">
        <f t="shared" si="6"/>
        <v>16.2</v>
      </c>
      <c r="Y30" s="19">
        <f t="shared" si="7"/>
        <v>17</v>
      </c>
      <c r="Z30" s="20">
        <f t="shared" si="8"/>
        <v>34</v>
      </c>
    </row>
    <row r="31" spans="1:26" ht="24.95" customHeight="1">
      <c r="A31" s="30">
        <v>19</v>
      </c>
      <c r="B31" s="30" t="s">
        <v>113</v>
      </c>
      <c r="C31" s="31" t="s">
        <v>114</v>
      </c>
      <c r="D31" s="47">
        <v>5</v>
      </c>
      <c r="E31" s="34">
        <v>5</v>
      </c>
      <c r="F31" s="12">
        <v>5</v>
      </c>
      <c r="G31" s="8">
        <f>SUM(LARGE(D31:F31,{1,2}))</f>
        <v>10</v>
      </c>
      <c r="H31" s="8">
        <f t="shared" si="0"/>
        <v>5</v>
      </c>
      <c r="I31" s="14">
        <f t="shared" si="1"/>
        <v>5</v>
      </c>
      <c r="J31" s="47">
        <v>25</v>
      </c>
      <c r="K31" s="47">
        <v>24</v>
      </c>
      <c r="L31" s="34">
        <v>24</v>
      </c>
      <c r="M31" s="8">
        <f>SUM(LARGE(J31:L31,{1,2}))</f>
        <v>49</v>
      </c>
      <c r="N31" s="8">
        <f t="shared" si="2"/>
        <v>4.9000000000000004</v>
      </c>
      <c r="O31" s="14">
        <f t="shared" si="3"/>
        <v>5</v>
      </c>
      <c r="P31" s="14">
        <v>5</v>
      </c>
      <c r="Q31" s="30">
        <v>91</v>
      </c>
      <c r="R31" s="17">
        <f t="shared" si="4"/>
        <v>4</v>
      </c>
      <c r="S31" s="18">
        <f t="shared" si="5"/>
        <v>19</v>
      </c>
      <c r="T31" s="47">
        <v>74</v>
      </c>
      <c r="U31" s="47">
        <v>84</v>
      </c>
      <c r="V31" s="82">
        <v>58</v>
      </c>
      <c r="W31" s="8">
        <f>SUM(LARGE(T31:V31,{1,2}))</f>
        <v>158</v>
      </c>
      <c r="X31" s="8">
        <f t="shared" si="6"/>
        <v>15.8</v>
      </c>
      <c r="Y31" s="19">
        <f t="shared" si="7"/>
        <v>16</v>
      </c>
      <c r="Z31" s="20">
        <f t="shared" si="8"/>
        <v>35</v>
      </c>
    </row>
    <row r="32" spans="1:26" ht="24.95" customHeight="1">
      <c r="A32" s="30">
        <v>20</v>
      </c>
      <c r="B32" s="30" t="s">
        <v>115</v>
      </c>
      <c r="C32" s="31" t="s">
        <v>116</v>
      </c>
      <c r="D32" s="47">
        <v>5</v>
      </c>
      <c r="E32" s="34">
        <v>5</v>
      </c>
      <c r="F32" s="12">
        <v>5</v>
      </c>
      <c r="G32" s="8">
        <f>SUM(LARGE(D32:F32,{1,2}))</f>
        <v>10</v>
      </c>
      <c r="H32" s="8">
        <f t="shared" si="0"/>
        <v>5</v>
      </c>
      <c r="I32" s="14">
        <f t="shared" si="1"/>
        <v>5</v>
      </c>
      <c r="J32" s="47">
        <v>25</v>
      </c>
      <c r="K32" s="47">
        <v>24</v>
      </c>
      <c r="L32" s="34">
        <v>23</v>
      </c>
      <c r="M32" s="8">
        <f>SUM(LARGE(J32:L32,{1,2}))</f>
        <v>49</v>
      </c>
      <c r="N32" s="8">
        <f t="shared" si="2"/>
        <v>4.9000000000000004</v>
      </c>
      <c r="O32" s="14">
        <f t="shared" si="3"/>
        <v>5</v>
      </c>
      <c r="P32" s="14">
        <v>5</v>
      </c>
      <c r="Q32" s="30">
        <v>90</v>
      </c>
      <c r="R32" s="17">
        <f t="shared" si="4"/>
        <v>4</v>
      </c>
      <c r="S32" s="18">
        <f t="shared" si="5"/>
        <v>19</v>
      </c>
      <c r="T32" s="47">
        <v>50</v>
      </c>
      <c r="U32" s="47">
        <v>62</v>
      </c>
      <c r="V32" s="82">
        <v>60</v>
      </c>
      <c r="W32" s="8">
        <f>SUM(LARGE(T32:V32,{1,2}))</f>
        <v>122</v>
      </c>
      <c r="X32" s="8">
        <f t="shared" si="6"/>
        <v>12.2</v>
      </c>
      <c r="Y32" s="19">
        <f t="shared" si="7"/>
        <v>13</v>
      </c>
      <c r="Z32" s="20">
        <f t="shared" si="8"/>
        <v>32</v>
      </c>
    </row>
    <row r="33" spans="1:26" ht="24.95" customHeight="1">
      <c r="A33" s="30">
        <v>21</v>
      </c>
      <c r="B33" s="30" t="s">
        <v>117</v>
      </c>
      <c r="C33" s="31" t="s">
        <v>118</v>
      </c>
      <c r="D33" s="47">
        <v>5</v>
      </c>
      <c r="E33" s="34">
        <v>5</v>
      </c>
      <c r="F33" s="12">
        <v>5</v>
      </c>
      <c r="G33" s="8">
        <f>SUM(LARGE(D33:F33,{1,2}))</f>
        <v>10</v>
      </c>
      <c r="H33" s="8">
        <f t="shared" si="0"/>
        <v>5</v>
      </c>
      <c r="I33" s="14">
        <f t="shared" si="1"/>
        <v>5</v>
      </c>
      <c r="J33" s="47">
        <v>25</v>
      </c>
      <c r="K33" s="47">
        <v>24</v>
      </c>
      <c r="L33" s="34">
        <v>23</v>
      </c>
      <c r="M33" s="8">
        <f>SUM(LARGE(J33:L33,{1,2}))</f>
        <v>49</v>
      </c>
      <c r="N33" s="8">
        <f t="shared" si="2"/>
        <v>4.9000000000000004</v>
      </c>
      <c r="O33" s="14">
        <f t="shared" si="3"/>
        <v>5</v>
      </c>
      <c r="P33" s="14">
        <v>5</v>
      </c>
      <c r="Q33" s="30">
        <v>86</v>
      </c>
      <c r="R33" s="17">
        <f t="shared" si="4"/>
        <v>3</v>
      </c>
      <c r="S33" s="18">
        <f t="shared" si="5"/>
        <v>18</v>
      </c>
      <c r="T33" s="47">
        <v>60</v>
      </c>
      <c r="U33" s="47">
        <v>80</v>
      </c>
      <c r="V33" s="82">
        <v>50</v>
      </c>
      <c r="W33" s="8">
        <f>SUM(LARGE(T33:V33,{1,2}))</f>
        <v>140</v>
      </c>
      <c r="X33" s="8">
        <f t="shared" si="6"/>
        <v>14</v>
      </c>
      <c r="Y33" s="19">
        <f t="shared" si="7"/>
        <v>14</v>
      </c>
      <c r="Z33" s="20">
        <f t="shared" si="8"/>
        <v>32</v>
      </c>
    </row>
    <row r="34" spans="1:26" ht="24.95" customHeight="1">
      <c r="A34" s="30">
        <v>22</v>
      </c>
      <c r="B34" s="30" t="s">
        <v>119</v>
      </c>
      <c r="C34" s="31" t="s">
        <v>120</v>
      </c>
      <c r="D34" s="47">
        <v>5</v>
      </c>
      <c r="E34" s="34">
        <v>5</v>
      </c>
      <c r="F34" s="12">
        <v>5</v>
      </c>
      <c r="G34" s="8">
        <f>SUM(LARGE(D34:F34,{1,2}))</f>
        <v>10</v>
      </c>
      <c r="H34" s="8">
        <f t="shared" si="0"/>
        <v>5</v>
      </c>
      <c r="I34" s="14">
        <f t="shared" si="1"/>
        <v>5</v>
      </c>
      <c r="J34" s="47">
        <v>24</v>
      </c>
      <c r="K34" s="47">
        <v>23</v>
      </c>
      <c r="L34" s="34">
        <v>23</v>
      </c>
      <c r="M34" s="8">
        <f>SUM(LARGE(J34:L34,{1,2}))</f>
        <v>47</v>
      </c>
      <c r="N34" s="8">
        <f t="shared" si="2"/>
        <v>4.7</v>
      </c>
      <c r="O34" s="14">
        <f t="shared" si="3"/>
        <v>5</v>
      </c>
      <c r="P34" s="14">
        <v>5</v>
      </c>
      <c r="Q34" s="30">
        <v>82</v>
      </c>
      <c r="R34" s="17">
        <f t="shared" si="4"/>
        <v>2</v>
      </c>
      <c r="S34" s="18">
        <f t="shared" si="5"/>
        <v>17</v>
      </c>
      <c r="T34" s="47">
        <v>84</v>
      </c>
      <c r="U34" s="47">
        <v>86</v>
      </c>
      <c r="V34" s="82">
        <v>13</v>
      </c>
      <c r="W34" s="8">
        <f>SUM(LARGE(T34:V34,{1,2}))</f>
        <v>170</v>
      </c>
      <c r="X34" s="8">
        <f t="shared" si="6"/>
        <v>17</v>
      </c>
      <c r="Y34" s="19">
        <f t="shared" si="7"/>
        <v>17</v>
      </c>
      <c r="Z34" s="20">
        <f t="shared" si="8"/>
        <v>34</v>
      </c>
    </row>
    <row r="35" spans="1:26" ht="24.95" customHeight="1">
      <c r="A35" s="30">
        <v>23</v>
      </c>
      <c r="B35" s="30" t="s">
        <v>121</v>
      </c>
      <c r="C35" s="31" t="s">
        <v>122</v>
      </c>
      <c r="D35" s="47">
        <v>5</v>
      </c>
      <c r="E35" s="34">
        <v>5</v>
      </c>
      <c r="F35" s="12">
        <v>5</v>
      </c>
      <c r="G35" s="8">
        <f>SUM(LARGE(D35:F35,{1,2}))</f>
        <v>10</v>
      </c>
      <c r="H35" s="8">
        <f t="shared" si="0"/>
        <v>5</v>
      </c>
      <c r="I35" s="14">
        <f t="shared" si="1"/>
        <v>5</v>
      </c>
      <c r="J35" s="47">
        <v>25</v>
      </c>
      <c r="K35" s="47">
        <v>25</v>
      </c>
      <c r="L35" s="34">
        <v>24</v>
      </c>
      <c r="M35" s="8">
        <f>SUM(LARGE(J35:L35,{1,2}))</f>
        <v>50</v>
      </c>
      <c r="N35" s="8">
        <f t="shared" si="2"/>
        <v>5</v>
      </c>
      <c r="O35" s="14">
        <f t="shared" si="3"/>
        <v>5</v>
      </c>
      <c r="P35" s="14">
        <v>5</v>
      </c>
      <c r="Q35" s="30">
        <v>96</v>
      </c>
      <c r="R35" s="17">
        <f t="shared" si="4"/>
        <v>5</v>
      </c>
      <c r="S35" s="18">
        <f t="shared" si="5"/>
        <v>20</v>
      </c>
      <c r="T35" s="47">
        <v>94</v>
      </c>
      <c r="U35" s="47">
        <v>96</v>
      </c>
      <c r="V35" s="82" t="s">
        <v>177</v>
      </c>
      <c r="W35" s="8">
        <f>SUM(LARGE(T35:V35,{1,2}))</f>
        <v>190</v>
      </c>
      <c r="X35" s="8">
        <f t="shared" si="6"/>
        <v>19</v>
      </c>
      <c r="Y35" s="19">
        <f t="shared" si="7"/>
        <v>19</v>
      </c>
      <c r="Z35" s="20">
        <f t="shared" si="8"/>
        <v>39</v>
      </c>
    </row>
    <row r="36" spans="1:26" ht="24.95" customHeight="1">
      <c r="A36" s="30">
        <v>24</v>
      </c>
      <c r="B36" s="30" t="s">
        <v>123</v>
      </c>
      <c r="C36" s="31" t="s">
        <v>124</v>
      </c>
      <c r="D36" s="47">
        <v>5</v>
      </c>
      <c r="E36" s="34">
        <v>5</v>
      </c>
      <c r="F36" s="12">
        <v>5</v>
      </c>
      <c r="G36" s="8">
        <f>SUM(LARGE(D36:F36,{1,2}))</f>
        <v>10</v>
      </c>
      <c r="H36" s="8">
        <f t="shared" si="0"/>
        <v>5</v>
      </c>
      <c r="I36" s="14">
        <f t="shared" si="1"/>
        <v>5</v>
      </c>
      <c r="J36" s="47">
        <v>25</v>
      </c>
      <c r="K36" s="47">
        <v>25</v>
      </c>
      <c r="L36" s="34">
        <v>23</v>
      </c>
      <c r="M36" s="8">
        <f>SUM(LARGE(J36:L36,{1,2}))</f>
        <v>50</v>
      </c>
      <c r="N36" s="8">
        <f t="shared" si="2"/>
        <v>5</v>
      </c>
      <c r="O36" s="14">
        <f t="shared" si="3"/>
        <v>5</v>
      </c>
      <c r="P36" s="14">
        <v>5</v>
      </c>
      <c r="Q36" s="30">
        <v>90</v>
      </c>
      <c r="R36" s="17">
        <f t="shared" si="4"/>
        <v>4</v>
      </c>
      <c r="S36" s="18">
        <f t="shared" si="5"/>
        <v>19</v>
      </c>
      <c r="T36" s="47">
        <v>62</v>
      </c>
      <c r="U36" s="47">
        <v>98</v>
      </c>
      <c r="V36" s="82">
        <v>60</v>
      </c>
      <c r="W36" s="8">
        <f>SUM(LARGE(T36:V36,{1,2}))</f>
        <v>160</v>
      </c>
      <c r="X36" s="8">
        <f t="shared" si="6"/>
        <v>16</v>
      </c>
      <c r="Y36" s="19">
        <f t="shared" si="7"/>
        <v>16</v>
      </c>
      <c r="Z36" s="20">
        <f t="shared" si="8"/>
        <v>35</v>
      </c>
    </row>
    <row r="37" spans="1:26" ht="24.95" customHeight="1">
      <c r="A37" s="30">
        <v>25</v>
      </c>
      <c r="B37" s="30" t="s">
        <v>125</v>
      </c>
      <c r="C37" s="31" t="s">
        <v>126</v>
      </c>
      <c r="D37" s="47">
        <v>5</v>
      </c>
      <c r="E37" s="34">
        <v>5</v>
      </c>
      <c r="F37" s="12">
        <v>5</v>
      </c>
      <c r="G37" s="8">
        <f>SUM(LARGE(D37:F37,{1,2}))</f>
        <v>10</v>
      </c>
      <c r="H37" s="8">
        <f t="shared" si="0"/>
        <v>5</v>
      </c>
      <c r="I37" s="14">
        <f t="shared" si="1"/>
        <v>5</v>
      </c>
      <c r="J37" s="47">
        <v>25</v>
      </c>
      <c r="K37" s="47">
        <v>24</v>
      </c>
      <c r="L37" s="34">
        <v>22</v>
      </c>
      <c r="M37" s="8">
        <f>SUM(LARGE(J37:L37,{1,2}))</f>
        <v>49</v>
      </c>
      <c r="N37" s="8">
        <f t="shared" si="2"/>
        <v>4.9000000000000004</v>
      </c>
      <c r="O37" s="14">
        <f t="shared" si="3"/>
        <v>5</v>
      </c>
      <c r="P37" s="14">
        <v>5</v>
      </c>
      <c r="Q37" s="30">
        <v>90</v>
      </c>
      <c r="R37" s="17">
        <f t="shared" si="4"/>
        <v>4</v>
      </c>
      <c r="S37" s="18">
        <f t="shared" si="5"/>
        <v>19</v>
      </c>
      <c r="T37" s="47">
        <v>56</v>
      </c>
      <c r="U37" s="47">
        <v>16</v>
      </c>
      <c r="V37" s="82">
        <v>53</v>
      </c>
      <c r="W37" s="8">
        <f>SUM(LARGE(T37:V37,{1,2}))</f>
        <v>109</v>
      </c>
      <c r="X37" s="8">
        <f t="shared" si="6"/>
        <v>10.9</v>
      </c>
      <c r="Y37" s="19">
        <f t="shared" si="7"/>
        <v>11</v>
      </c>
      <c r="Z37" s="20">
        <f t="shared" si="8"/>
        <v>30</v>
      </c>
    </row>
    <row r="38" spans="1:26" ht="24.95" customHeight="1">
      <c r="A38" s="30">
        <v>26</v>
      </c>
      <c r="B38" s="30" t="s">
        <v>127</v>
      </c>
      <c r="C38" s="31" t="s">
        <v>128</v>
      </c>
      <c r="D38" s="47">
        <v>5</v>
      </c>
      <c r="E38" s="34">
        <v>5</v>
      </c>
      <c r="F38" s="12">
        <v>4</v>
      </c>
      <c r="G38" s="8">
        <f>SUM(LARGE(D38:F38,{1,2}))</f>
        <v>10</v>
      </c>
      <c r="H38" s="8">
        <f t="shared" si="0"/>
        <v>5</v>
      </c>
      <c r="I38" s="14">
        <f t="shared" si="1"/>
        <v>5</v>
      </c>
      <c r="J38" s="47">
        <v>25</v>
      </c>
      <c r="K38" s="47">
        <v>23</v>
      </c>
      <c r="L38" s="34">
        <v>24</v>
      </c>
      <c r="M38" s="8">
        <f>SUM(LARGE(J38:L38,{1,2}))</f>
        <v>49</v>
      </c>
      <c r="N38" s="8">
        <f t="shared" si="2"/>
        <v>4.9000000000000004</v>
      </c>
      <c r="O38" s="14">
        <f t="shared" si="3"/>
        <v>5</v>
      </c>
      <c r="P38" s="14">
        <v>5</v>
      </c>
      <c r="Q38" s="30">
        <v>84</v>
      </c>
      <c r="R38" s="17">
        <f t="shared" si="4"/>
        <v>2</v>
      </c>
      <c r="S38" s="18">
        <f t="shared" si="5"/>
        <v>17</v>
      </c>
      <c r="T38" s="47">
        <v>50</v>
      </c>
      <c r="U38" s="47">
        <v>66</v>
      </c>
      <c r="V38" s="82">
        <v>8</v>
      </c>
      <c r="W38" s="8">
        <f>SUM(LARGE(T38:V38,{1,2}))</f>
        <v>116</v>
      </c>
      <c r="X38" s="8">
        <f t="shared" si="6"/>
        <v>11.6</v>
      </c>
      <c r="Y38" s="19">
        <f t="shared" si="7"/>
        <v>12</v>
      </c>
      <c r="Z38" s="20">
        <f t="shared" si="8"/>
        <v>29</v>
      </c>
    </row>
    <row r="39" spans="1:26" ht="24.95" customHeight="1">
      <c r="A39" s="30">
        <v>27</v>
      </c>
      <c r="B39" s="30" t="s">
        <v>129</v>
      </c>
      <c r="C39" s="31" t="s">
        <v>130</v>
      </c>
      <c r="D39" s="47">
        <v>5</v>
      </c>
      <c r="E39" s="34">
        <v>5</v>
      </c>
      <c r="F39" s="12">
        <v>5</v>
      </c>
      <c r="G39" s="8">
        <f>SUM(LARGE(D39:F39,{1,2}))</f>
        <v>10</v>
      </c>
      <c r="H39" s="8">
        <f t="shared" si="0"/>
        <v>5</v>
      </c>
      <c r="I39" s="14">
        <f t="shared" si="1"/>
        <v>5</v>
      </c>
      <c r="J39" s="47">
        <v>25</v>
      </c>
      <c r="K39" s="47">
        <v>24</v>
      </c>
      <c r="L39" s="34">
        <v>23</v>
      </c>
      <c r="M39" s="8">
        <f>SUM(LARGE(J39:L39,{1,2}))</f>
        <v>49</v>
      </c>
      <c r="N39" s="8">
        <f t="shared" si="2"/>
        <v>4.9000000000000004</v>
      </c>
      <c r="O39" s="14">
        <f t="shared" si="3"/>
        <v>5</v>
      </c>
      <c r="P39" s="14">
        <v>5</v>
      </c>
      <c r="Q39" s="30">
        <v>86</v>
      </c>
      <c r="R39" s="17">
        <f t="shared" si="4"/>
        <v>3</v>
      </c>
      <c r="S39" s="18">
        <f t="shared" si="5"/>
        <v>18</v>
      </c>
      <c r="T39" s="47">
        <v>60</v>
      </c>
      <c r="U39" s="47">
        <v>64</v>
      </c>
      <c r="V39" s="82">
        <v>13</v>
      </c>
      <c r="W39" s="8">
        <f>SUM(LARGE(T39:V39,{1,2}))</f>
        <v>124</v>
      </c>
      <c r="X39" s="8">
        <f t="shared" si="6"/>
        <v>12.4</v>
      </c>
      <c r="Y39" s="19">
        <f t="shared" si="7"/>
        <v>13</v>
      </c>
      <c r="Z39" s="20">
        <f t="shared" si="8"/>
        <v>31</v>
      </c>
    </row>
    <row r="40" spans="1:26" ht="24.95" customHeight="1">
      <c r="A40" s="30">
        <v>28</v>
      </c>
      <c r="B40" s="30" t="s">
        <v>131</v>
      </c>
      <c r="C40" s="31" t="s">
        <v>132</v>
      </c>
      <c r="D40" s="47">
        <v>5</v>
      </c>
      <c r="E40" s="34">
        <v>5</v>
      </c>
      <c r="F40" s="12">
        <v>5</v>
      </c>
      <c r="G40" s="8">
        <f>SUM(LARGE(D40:F40,{1,2}))</f>
        <v>10</v>
      </c>
      <c r="H40" s="8">
        <f t="shared" si="0"/>
        <v>5</v>
      </c>
      <c r="I40" s="14">
        <f t="shared" si="1"/>
        <v>5</v>
      </c>
      <c r="J40" s="47">
        <v>25</v>
      </c>
      <c r="K40" s="47">
        <v>25</v>
      </c>
      <c r="L40" s="34">
        <v>25</v>
      </c>
      <c r="M40" s="8">
        <f>SUM(LARGE(J40:L40,{1,2}))</f>
        <v>50</v>
      </c>
      <c r="N40" s="8">
        <f t="shared" si="2"/>
        <v>5</v>
      </c>
      <c r="O40" s="14">
        <f t="shared" si="3"/>
        <v>5</v>
      </c>
      <c r="P40" s="14">
        <v>5</v>
      </c>
      <c r="Q40" s="30">
        <v>83</v>
      </c>
      <c r="R40" s="17">
        <f t="shared" si="4"/>
        <v>2</v>
      </c>
      <c r="S40" s="18">
        <f t="shared" si="5"/>
        <v>17</v>
      </c>
      <c r="T40" s="47">
        <v>86</v>
      </c>
      <c r="U40" s="47">
        <v>84</v>
      </c>
      <c r="V40" s="82" t="s">
        <v>177</v>
      </c>
      <c r="W40" s="8">
        <f>SUM(LARGE(T40:V40,{1,2}))</f>
        <v>170</v>
      </c>
      <c r="X40" s="8">
        <f t="shared" si="6"/>
        <v>17</v>
      </c>
      <c r="Y40" s="19">
        <f t="shared" si="7"/>
        <v>17</v>
      </c>
      <c r="Z40" s="20">
        <f t="shared" si="8"/>
        <v>34</v>
      </c>
    </row>
    <row r="41" spans="1:26" ht="24.95" customHeight="1">
      <c r="A41" s="30">
        <v>29</v>
      </c>
      <c r="B41" s="30" t="s">
        <v>133</v>
      </c>
      <c r="C41" s="31" t="s">
        <v>134</v>
      </c>
      <c r="D41" s="47">
        <v>5</v>
      </c>
      <c r="E41" s="34">
        <v>5</v>
      </c>
      <c r="F41" s="12">
        <v>5</v>
      </c>
      <c r="G41" s="8">
        <f>SUM(LARGE(D41:F41,{1,2}))</f>
        <v>10</v>
      </c>
      <c r="H41" s="8">
        <f t="shared" si="0"/>
        <v>5</v>
      </c>
      <c r="I41" s="14">
        <f t="shared" si="1"/>
        <v>5</v>
      </c>
      <c r="J41" s="47">
        <v>25</v>
      </c>
      <c r="K41" s="47">
        <v>24</v>
      </c>
      <c r="L41" s="34">
        <v>23</v>
      </c>
      <c r="M41" s="8">
        <f>SUM(LARGE(J41:L41,{1,2}))</f>
        <v>49</v>
      </c>
      <c r="N41" s="8">
        <f t="shared" si="2"/>
        <v>4.9000000000000004</v>
      </c>
      <c r="O41" s="14">
        <f t="shared" si="3"/>
        <v>5</v>
      </c>
      <c r="P41" s="14">
        <v>5</v>
      </c>
      <c r="Q41" s="30">
        <v>84</v>
      </c>
      <c r="R41" s="17">
        <f t="shared" si="4"/>
        <v>2</v>
      </c>
      <c r="S41" s="18">
        <f t="shared" si="5"/>
        <v>17</v>
      </c>
      <c r="T41" s="47">
        <v>86</v>
      </c>
      <c r="U41" s="49" t="s">
        <v>177</v>
      </c>
      <c r="V41" s="82">
        <v>88</v>
      </c>
      <c r="W41" s="8">
        <f>SUM(LARGE(T41:V41,{1,2}))</f>
        <v>174</v>
      </c>
      <c r="X41" s="8">
        <f t="shared" si="6"/>
        <v>17.399999999999999</v>
      </c>
      <c r="Y41" s="19">
        <f t="shared" si="7"/>
        <v>18</v>
      </c>
      <c r="Z41" s="20">
        <f t="shared" si="8"/>
        <v>35</v>
      </c>
    </row>
    <row r="42" spans="1:26" ht="24.95" customHeight="1">
      <c r="A42" s="30">
        <v>30</v>
      </c>
      <c r="B42" s="30" t="s">
        <v>135</v>
      </c>
      <c r="C42" s="31" t="s">
        <v>136</v>
      </c>
      <c r="D42" s="47">
        <v>5</v>
      </c>
      <c r="E42" s="34">
        <v>5</v>
      </c>
      <c r="F42" s="12">
        <v>5</v>
      </c>
      <c r="G42" s="8">
        <f>SUM(LARGE(D42:F42,{1,2}))</f>
        <v>10</v>
      </c>
      <c r="H42" s="8">
        <f t="shared" si="0"/>
        <v>5</v>
      </c>
      <c r="I42" s="14">
        <f t="shared" si="1"/>
        <v>5</v>
      </c>
      <c r="J42" s="47">
        <v>23</v>
      </c>
      <c r="K42" s="47">
        <v>25</v>
      </c>
      <c r="L42" s="34">
        <v>24</v>
      </c>
      <c r="M42" s="8">
        <f>SUM(LARGE(J42:L42,{1,2}))</f>
        <v>49</v>
      </c>
      <c r="N42" s="8">
        <f t="shared" si="2"/>
        <v>4.9000000000000004</v>
      </c>
      <c r="O42" s="14">
        <f t="shared" si="3"/>
        <v>5</v>
      </c>
      <c r="P42" s="14">
        <v>5</v>
      </c>
      <c r="Q42" s="30">
        <v>96</v>
      </c>
      <c r="R42" s="17">
        <f t="shared" si="4"/>
        <v>5</v>
      </c>
      <c r="S42" s="18">
        <f t="shared" si="5"/>
        <v>20</v>
      </c>
      <c r="T42" s="47">
        <v>96</v>
      </c>
      <c r="U42" s="47">
        <v>98</v>
      </c>
      <c r="V42" s="82">
        <v>60</v>
      </c>
      <c r="W42" s="8">
        <f>SUM(LARGE(T42:V42,{1,2}))</f>
        <v>194</v>
      </c>
      <c r="X42" s="8">
        <f t="shared" si="6"/>
        <v>19.399999999999999</v>
      </c>
      <c r="Y42" s="19">
        <f t="shared" si="7"/>
        <v>20</v>
      </c>
      <c r="Z42" s="20">
        <f t="shared" si="8"/>
        <v>40</v>
      </c>
    </row>
    <row r="43" spans="1:26" ht="24.95" customHeight="1">
      <c r="A43" s="30">
        <v>31</v>
      </c>
      <c r="B43" s="30" t="s">
        <v>137</v>
      </c>
      <c r="C43" s="31" t="s">
        <v>138</v>
      </c>
      <c r="D43" s="47">
        <v>5</v>
      </c>
      <c r="E43" s="34">
        <v>5</v>
      </c>
      <c r="F43" s="12">
        <v>5</v>
      </c>
      <c r="G43" s="8">
        <f>SUM(LARGE(D43:F43,{1,2}))</f>
        <v>10</v>
      </c>
      <c r="H43" s="8">
        <f t="shared" si="0"/>
        <v>5</v>
      </c>
      <c r="I43" s="14">
        <f t="shared" si="1"/>
        <v>5</v>
      </c>
      <c r="J43" s="47">
        <v>25</v>
      </c>
      <c r="K43" s="47">
        <v>25</v>
      </c>
      <c r="L43" s="34">
        <v>23</v>
      </c>
      <c r="M43" s="8">
        <f>SUM(LARGE(J43:L43,{1,2}))</f>
        <v>50</v>
      </c>
      <c r="N43" s="8">
        <f t="shared" si="2"/>
        <v>5</v>
      </c>
      <c r="O43" s="14">
        <f t="shared" si="3"/>
        <v>5</v>
      </c>
      <c r="P43" s="14">
        <v>5</v>
      </c>
      <c r="Q43" s="30">
        <v>87</v>
      </c>
      <c r="R43" s="17">
        <f t="shared" si="4"/>
        <v>3</v>
      </c>
      <c r="S43" s="18">
        <f t="shared" si="5"/>
        <v>18</v>
      </c>
      <c r="T43" s="47">
        <v>96</v>
      </c>
      <c r="U43" s="47">
        <v>98</v>
      </c>
      <c r="V43" s="82">
        <v>70</v>
      </c>
      <c r="W43" s="8">
        <f>SUM(LARGE(T43:V43,{1,2}))</f>
        <v>194</v>
      </c>
      <c r="X43" s="8">
        <f t="shared" si="6"/>
        <v>19.399999999999999</v>
      </c>
      <c r="Y43" s="19">
        <f t="shared" si="7"/>
        <v>20</v>
      </c>
      <c r="Z43" s="20">
        <f t="shared" si="8"/>
        <v>38</v>
      </c>
    </row>
    <row r="44" spans="1:26" ht="24.95" customHeight="1">
      <c r="A44" s="30">
        <v>32</v>
      </c>
      <c r="B44" s="30" t="s">
        <v>139</v>
      </c>
      <c r="C44" s="31" t="s">
        <v>140</v>
      </c>
      <c r="D44" s="47">
        <v>5</v>
      </c>
      <c r="E44" s="34">
        <v>5</v>
      </c>
      <c r="F44" s="12">
        <v>5</v>
      </c>
      <c r="G44" s="8">
        <f>SUM(LARGE(D44:F44,{1,2}))</f>
        <v>10</v>
      </c>
      <c r="H44" s="8">
        <f t="shared" si="0"/>
        <v>5</v>
      </c>
      <c r="I44" s="14">
        <f t="shared" si="1"/>
        <v>5</v>
      </c>
      <c r="J44" s="47">
        <v>25</v>
      </c>
      <c r="K44" s="47">
        <v>25</v>
      </c>
      <c r="L44" s="34">
        <v>24</v>
      </c>
      <c r="M44" s="8">
        <f>SUM(LARGE(J44:L44,{1,2}))</f>
        <v>50</v>
      </c>
      <c r="N44" s="8">
        <f t="shared" si="2"/>
        <v>5</v>
      </c>
      <c r="O44" s="14">
        <f t="shared" si="3"/>
        <v>5</v>
      </c>
      <c r="P44" s="14">
        <v>5</v>
      </c>
      <c r="Q44" s="30">
        <v>93</v>
      </c>
      <c r="R44" s="17">
        <f t="shared" si="4"/>
        <v>4</v>
      </c>
      <c r="S44" s="18">
        <f t="shared" si="5"/>
        <v>19</v>
      </c>
      <c r="T44" s="47">
        <v>98</v>
      </c>
      <c r="U44" s="47">
        <v>98</v>
      </c>
      <c r="V44" s="82">
        <v>90</v>
      </c>
      <c r="W44" s="8">
        <f>SUM(LARGE(T44:V44,{1,2}))</f>
        <v>196</v>
      </c>
      <c r="X44" s="8">
        <f t="shared" si="6"/>
        <v>19.600000000000001</v>
      </c>
      <c r="Y44" s="19">
        <f t="shared" si="7"/>
        <v>20</v>
      </c>
      <c r="Z44" s="20">
        <f t="shared" si="8"/>
        <v>39</v>
      </c>
    </row>
    <row r="45" spans="1:26" ht="24.95" customHeight="1">
      <c r="A45" s="30">
        <v>33</v>
      </c>
      <c r="B45" s="30" t="s">
        <v>141</v>
      </c>
      <c r="C45" s="35" t="s">
        <v>142</v>
      </c>
      <c r="D45" s="47">
        <v>5</v>
      </c>
      <c r="E45" s="34">
        <v>5</v>
      </c>
      <c r="F45" s="12">
        <v>5</v>
      </c>
      <c r="G45" s="8">
        <f>SUM(LARGE(D45:F45,{1,2}))</f>
        <v>10</v>
      </c>
      <c r="H45" s="8">
        <f t="shared" si="0"/>
        <v>5</v>
      </c>
      <c r="I45" s="14">
        <f t="shared" si="1"/>
        <v>5</v>
      </c>
      <c r="J45" s="47">
        <v>25</v>
      </c>
      <c r="K45" s="47">
        <v>25</v>
      </c>
      <c r="L45" s="34">
        <v>25</v>
      </c>
      <c r="M45" s="8">
        <f>SUM(LARGE(J45:L45,{1,2}))</f>
        <v>50</v>
      </c>
      <c r="N45" s="8">
        <f t="shared" si="2"/>
        <v>5</v>
      </c>
      <c r="O45" s="14">
        <f t="shared" si="3"/>
        <v>5</v>
      </c>
      <c r="P45" s="14">
        <v>5</v>
      </c>
      <c r="Q45" s="30">
        <v>88</v>
      </c>
      <c r="R45" s="17">
        <f t="shared" si="4"/>
        <v>3</v>
      </c>
      <c r="S45" s="18">
        <f t="shared" si="5"/>
        <v>18</v>
      </c>
      <c r="T45" s="47">
        <v>80</v>
      </c>
      <c r="U45" s="47">
        <v>70</v>
      </c>
      <c r="V45" s="82">
        <v>43</v>
      </c>
      <c r="W45" s="8">
        <f>SUM(LARGE(T45:V45,{1,2}))</f>
        <v>150</v>
      </c>
      <c r="X45" s="8">
        <f t="shared" si="6"/>
        <v>15</v>
      </c>
      <c r="Y45" s="19">
        <f t="shared" si="7"/>
        <v>15</v>
      </c>
      <c r="Z45" s="20">
        <f t="shared" si="8"/>
        <v>33</v>
      </c>
    </row>
    <row r="46" spans="1:26" ht="24.95" customHeight="1">
      <c r="A46" s="30">
        <v>34</v>
      </c>
      <c r="B46" s="30" t="s">
        <v>143</v>
      </c>
      <c r="C46" s="31" t="s">
        <v>144</v>
      </c>
      <c r="D46" s="47">
        <v>5</v>
      </c>
      <c r="E46" s="34">
        <v>5</v>
      </c>
      <c r="F46" s="12">
        <v>5</v>
      </c>
      <c r="G46" s="8">
        <f>SUM(LARGE(D46:F46,{1,2}))</f>
        <v>10</v>
      </c>
      <c r="H46" s="8">
        <f t="shared" si="0"/>
        <v>5</v>
      </c>
      <c r="I46" s="14">
        <f t="shared" si="1"/>
        <v>5</v>
      </c>
      <c r="J46" s="47">
        <v>25</v>
      </c>
      <c r="K46" s="47">
        <v>25</v>
      </c>
      <c r="L46" s="34">
        <v>25</v>
      </c>
      <c r="M46" s="8">
        <f>SUM(LARGE(J46:L46,{1,2}))</f>
        <v>50</v>
      </c>
      <c r="N46" s="8">
        <f t="shared" si="2"/>
        <v>5</v>
      </c>
      <c r="O46" s="14">
        <f t="shared" si="3"/>
        <v>5</v>
      </c>
      <c r="P46" s="14">
        <v>5</v>
      </c>
      <c r="Q46" s="30">
        <v>92</v>
      </c>
      <c r="R46" s="17">
        <f t="shared" si="4"/>
        <v>4</v>
      </c>
      <c r="S46" s="18">
        <f t="shared" si="5"/>
        <v>19</v>
      </c>
      <c r="T46" s="47">
        <v>98</v>
      </c>
      <c r="U46" s="47">
        <v>98</v>
      </c>
      <c r="V46" s="82">
        <v>80</v>
      </c>
      <c r="W46" s="8">
        <f>SUM(LARGE(T46:V46,{1,2}))</f>
        <v>196</v>
      </c>
      <c r="X46" s="8">
        <f t="shared" si="6"/>
        <v>19.600000000000001</v>
      </c>
      <c r="Y46" s="19">
        <f t="shared" si="7"/>
        <v>20</v>
      </c>
      <c r="Z46" s="20">
        <f t="shared" si="8"/>
        <v>39</v>
      </c>
    </row>
    <row r="47" spans="1:26" ht="24.95" customHeight="1">
      <c r="A47" s="30">
        <v>35</v>
      </c>
      <c r="B47" s="30" t="s">
        <v>145</v>
      </c>
      <c r="C47" s="31" t="s">
        <v>146</v>
      </c>
      <c r="D47" s="47">
        <v>5</v>
      </c>
      <c r="E47" s="34">
        <v>5</v>
      </c>
      <c r="F47" s="12">
        <v>5</v>
      </c>
      <c r="G47" s="8">
        <f>SUM(LARGE(D47:F47,{1,2}))</f>
        <v>10</v>
      </c>
      <c r="H47" s="8">
        <f t="shared" si="0"/>
        <v>5</v>
      </c>
      <c r="I47" s="14">
        <f t="shared" si="1"/>
        <v>5</v>
      </c>
      <c r="J47" s="47">
        <v>25</v>
      </c>
      <c r="K47" s="47">
        <v>24</v>
      </c>
      <c r="L47" s="34">
        <v>24</v>
      </c>
      <c r="M47" s="8">
        <f>SUM(LARGE(J47:L47,{1,2}))</f>
        <v>49</v>
      </c>
      <c r="N47" s="8">
        <f t="shared" si="2"/>
        <v>4.9000000000000004</v>
      </c>
      <c r="O47" s="14">
        <f t="shared" si="3"/>
        <v>5</v>
      </c>
      <c r="P47" s="14">
        <v>5</v>
      </c>
      <c r="Q47" s="30">
        <v>99</v>
      </c>
      <c r="R47" s="17">
        <f t="shared" si="4"/>
        <v>5</v>
      </c>
      <c r="S47" s="18">
        <f t="shared" si="5"/>
        <v>20</v>
      </c>
      <c r="T47" s="47">
        <v>72</v>
      </c>
      <c r="U47" s="47">
        <v>20</v>
      </c>
      <c r="V47" s="82">
        <v>68</v>
      </c>
      <c r="W47" s="8">
        <f>SUM(LARGE(T47:V47,{1,2}))</f>
        <v>140</v>
      </c>
      <c r="X47" s="8">
        <f t="shared" si="6"/>
        <v>14</v>
      </c>
      <c r="Y47" s="19">
        <f t="shared" si="7"/>
        <v>14</v>
      </c>
      <c r="Z47" s="20">
        <f t="shared" si="8"/>
        <v>34</v>
      </c>
    </row>
    <row r="48" spans="1:26" ht="24.95" customHeight="1">
      <c r="A48" s="30">
        <v>36</v>
      </c>
      <c r="B48" s="30" t="s">
        <v>147</v>
      </c>
      <c r="C48" s="31" t="s">
        <v>148</v>
      </c>
      <c r="D48" s="47">
        <v>5</v>
      </c>
      <c r="E48" s="34">
        <v>5</v>
      </c>
      <c r="F48" s="12">
        <v>5</v>
      </c>
      <c r="G48" s="8">
        <f>SUM(LARGE(D48:F48,{1,2}))</f>
        <v>10</v>
      </c>
      <c r="H48" s="8">
        <f t="shared" si="0"/>
        <v>5</v>
      </c>
      <c r="I48" s="14">
        <f t="shared" si="1"/>
        <v>5</v>
      </c>
      <c r="J48" s="47">
        <v>25</v>
      </c>
      <c r="K48" s="47">
        <v>24</v>
      </c>
      <c r="L48" s="34">
        <v>22</v>
      </c>
      <c r="M48" s="8">
        <f>SUM(LARGE(J48:L48,{1,2}))</f>
        <v>49</v>
      </c>
      <c r="N48" s="8">
        <f t="shared" si="2"/>
        <v>4.9000000000000004</v>
      </c>
      <c r="O48" s="14">
        <f t="shared" si="3"/>
        <v>5</v>
      </c>
      <c r="P48" s="14">
        <v>5</v>
      </c>
      <c r="Q48" s="30">
        <v>80</v>
      </c>
      <c r="R48" s="17">
        <f t="shared" si="4"/>
        <v>2</v>
      </c>
      <c r="S48" s="18">
        <f t="shared" si="5"/>
        <v>17</v>
      </c>
      <c r="T48" s="47">
        <v>74</v>
      </c>
      <c r="U48" s="47">
        <v>72</v>
      </c>
      <c r="V48" s="82" t="s">
        <v>177</v>
      </c>
      <c r="W48" s="8">
        <f>SUM(LARGE(T48:V48,{1,2}))</f>
        <v>146</v>
      </c>
      <c r="X48" s="8">
        <f t="shared" si="6"/>
        <v>14.6</v>
      </c>
      <c r="Y48" s="19">
        <f t="shared" si="7"/>
        <v>15</v>
      </c>
      <c r="Z48" s="20">
        <f t="shared" si="8"/>
        <v>32</v>
      </c>
    </row>
    <row r="49" spans="1:26" ht="24.95" customHeight="1">
      <c r="A49" s="30">
        <v>37</v>
      </c>
      <c r="B49" s="30" t="s">
        <v>149</v>
      </c>
      <c r="C49" s="31" t="s">
        <v>150</v>
      </c>
      <c r="D49" s="47">
        <v>5</v>
      </c>
      <c r="E49" s="34">
        <v>5</v>
      </c>
      <c r="F49" s="12">
        <v>5</v>
      </c>
      <c r="G49" s="8">
        <f>SUM(LARGE(D49:F49,{1,2}))</f>
        <v>10</v>
      </c>
      <c r="H49" s="8">
        <f t="shared" si="0"/>
        <v>5</v>
      </c>
      <c r="I49" s="14">
        <f t="shared" si="1"/>
        <v>5</v>
      </c>
      <c r="J49" s="47">
        <v>25</v>
      </c>
      <c r="K49" s="47">
        <v>25</v>
      </c>
      <c r="L49" s="34">
        <v>24</v>
      </c>
      <c r="M49" s="8">
        <f>SUM(LARGE(J49:L49,{1,2}))</f>
        <v>50</v>
      </c>
      <c r="N49" s="8">
        <f t="shared" si="2"/>
        <v>5</v>
      </c>
      <c r="O49" s="14">
        <f t="shared" si="3"/>
        <v>5</v>
      </c>
      <c r="P49" s="14">
        <v>5</v>
      </c>
      <c r="Q49" s="30">
        <v>94</v>
      </c>
      <c r="R49" s="17">
        <f t="shared" si="4"/>
        <v>4</v>
      </c>
      <c r="S49" s="18">
        <f t="shared" si="5"/>
        <v>19</v>
      </c>
      <c r="T49" s="47">
        <v>96</v>
      </c>
      <c r="U49" s="47">
        <v>98</v>
      </c>
      <c r="V49" s="82">
        <v>93</v>
      </c>
      <c r="W49" s="8">
        <f>SUM(LARGE(T49:V49,{1,2}))</f>
        <v>194</v>
      </c>
      <c r="X49" s="8">
        <f t="shared" si="6"/>
        <v>19.399999999999999</v>
      </c>
      <c r="Y49" s="19">
        <f t="shared" si="7"/>
        <v>20</v>
      </c>
      <c r="Z49" s="20">
        <f t="shared" si="8"/>
        <v>39</v>
      </c>
    </row>
    <row r="50" spans="1:26" ht="24.95" customHeight="1">
      <c r="A50" s="30">
        <v>38</v>
      </c>
      <c r="B50" s="30" t="s">
        <v>151</v>
      </c>
      <c r="C50" s="31" t="s">
        <v>152</v>
      </c>
      <c r="D50" s="47">
        <v>5</v>
      </c>
      <c r="E50" s="34">
        <v>5</v>
      </c>
      <c r="F50" s="12">
        <v>5</v>
      </c>
      <c r="G50" s="8">
        <f>SUM(LARGE(D50:F50,{1,2}))</f>
        <v>10</v>
      </c>
      <c r="H50" s="8">
        <f t="shared" si="0"/>
        <v>5</v>
      </c>
      <c r="I50" s="14">
        <f t="shared" si="1"/>
        <v>5</v>
      </c>
      <c r="J50" s="47">
        <v>25</v>
      </c>
      <c r="K50" s="47">
        <v>23</v>
      </c>
      <c r="L50" s="34">
        <v>21</v>
      </c>
      <c r="M50" s="8">
        <f>SUM(LARGE(J50:L50,{1,2}))</f>
        <v>48</v>
      </c>
      <c r="N50" s="8">
        <f t="shared" si="2"/>
        <v>4.8</v>
      </c>
      <c r="O50" s="14">
        <f t="shared" si="3"/>
        <v>5</v>
      </c>
      <c r="P50" s="14">
        <v>5</v>
      </c>
      <c r="Q50" s="30">
        <v>87</v>
      </c>
      <c r="R50" s="17">
        <f t="shared" si="4"/>
        <v>3</v>
      </c>
      <c r="S50" s="18">
        <f t="shared" si="5"/>
        <v>18</v>
      </c>
      <c r="T50" s="47">
        <v>80</v>
      </c>
      <c r="U50" s="47">
        <v>80</v>
      </c>
      <c r="V50" s="82">
        <v>65</v>
      </c>
      <c r="W50" s="8">
        <f>SUM(LARGE(T50:V50,{1,2}))</f>
        <v>160</v>
      </c>
      <c r="X50" s="8">
        <f t="shared" si="6"/>
        <v>16</v>
      </c>
      <c r="Y50" s="19">
        <f t="shared" si="7"/>
        <v>16</v>
      </c>
      <c r="Z50" s="20">
        <f t="shared" si="8"/>
        <v>34</v>
      </c>
    </row>
    <row r="51" spans="1:26" ht="24.95" customHeight="1">
      <c r="A51" s="30">
        <v>39</v>
      </c>
      <c r="B51" s="30" t="s">
        <v>153</v>
      </c>
      <c r="C51" s="31" t="s">
        <v>154</v>
      </c>
      <c r="D51" s="47">
        <v>5</v>
      </c>
      <c r="E51" s="34">
        <v>5</v>
      </c>
      <c r="F51" s="12">
        <v>4</v>
      </c>
      <c r="G51" s="8">
        <f>SUM(LARGE(D51:F51,{1,2}))</f>
        <v>10</v>
      </c>
      <c r="H51" s="8">
        <f t="shared" si="0"/>
        <v>5</v>
      </c>
      <c r="I51" s="14">
        <f t="shared" si="1"/>
        <v>5</v>
      </c>
      <c r="J51" s="47">
        <v>25</v>
      </c>
      <c r="K51" s="47">
        <v>22</v>
      </c>
      <c r="L51" s="34" t="s">
        <v>177</v>
      </c>
      <c r="M51" s="8">
        <f>SUM(LARGE(J51:L51,{1,2}))</f>
        <v>47</v>
      </c>
      <c r="N51" s="8">
        <f t="shared" si="2"/>
        <v>4.7</v>
      </c>
      <c r="O51" s="14">
        <f t="shared" si="3"/>
        <v>5</v>
      </c>
      <c r="P51" s="14">
        <v>5</v>
      </c>
      <c r="Q51" s="30">
        <v>81</v>
      </c>
      <c r="R51" s="17">
        <f t="shared" si="4"/>
        <v>2</v>
      </c>
      <c r="S51" s="18">
        <f t="shared" si="5"/>
        <v>17</v>
      </c>
      <c r="T51" s="47">
        <v>78</v>
      </c>
      <c r="U51" s="47">
        <v>68</v>
      </c>
      <c r="V51" s="82">
        <v>63</v>
      </c>
      <c r="W51" s="8">
        <f>SUM(LARGE(T51:V51,{1,2}))</f>
        <v>146</v>
      </c>
      <c r="X51" s="8">
        <f t="shared" si="6"/>
        <v>14.6</v>
      </c>
      <c r="Y51" s="19">
        <f t="shared" si="7"/>
        <v>15</v>
      </c>
      <c r="Z51" s="20">
        <f t="shared" si="8"/>
        <v>32</v>
      </c>
    </row>
    <row r="52" spans="1:26" ht="24.95" customHeight="1">
      <c r="A52" s="30">
        <v>40</v>
      </c>
      <c r="B52" s="30" t="s">
        <v>155</v>
      </c>
      <c r="C52" s="31" t="s">
        <v>156</v>
      </c>
      <c r="D52" s="47">
        <v>5</v>
      </c>
      <c r="E52" s="34">
        <v>5</v>
      </c>
      <c r="F52" s="12">
        <v>5</v>
      </c>
      <c r="G52" s="8">
        <f>SUM(LARGE(D52:F52,{1,2}))</f>
        <v>10</v>
      </c>
      <c r="H52" s="8">
        <f t="shared" si="0"/>
        <v>5</v>
      </c>
      <c r="I52" s="14">
        <f t="shared" si="1"/>
        <v>5</v>
      </c>
      <c r="J52" s="47">
        <v>25</v>
      </c>
      <c r="K52" s="47">
        <v>24</v>
      </c>
      <c r="L52" s="34">
        <v>25</v>
      </c>
      <c r="M52" s="8">
        <f>SUM(LARGE(J52:L52,{1,2}))</f>
        <v>50</v>
      </c>
      <c r="N52" s="8">
        <f t="shared" si="2"/>
        <v>5</v>
      </c>
      <c r="O52" s="14">
        <f t="shared" si="3"/>
        <v>5</v>
      </c>
      <c r="P52" s="14">
        <v>5</v>
      </c>
      <c r="Q52" s="30">
        <v>88</v>
      </c>
      <c r="R52" s="17">
        <f t="shared" si="4"/>
        <v>3</v>
      </c>
      <c r="S52" s="18">
        <f t="shared" si="5"/>
        <v>18</v>
      </c>
      <c r="T52" s="47">
        <v>92</v>
      </c>
      <c r="U52" s="47">
        <v>98</v>
      </c>
      <c r="V52" s="82">
        <v>90</v>
      </c>
      <c r="W52" s="8">
        <f>SUM(LARGE(T52:V52,{1,2}))</f>
        <v>190</v>
      </c>
      <c r="X52" s="8">
        <f t="shared" si="6"/>
        <v>19</v>
      </c>
      <c r="Y52" s="19">
        <f t="shared" si="7"/>
        <v>19</v>
      </c>
      <c r="Z52" s="20">
        <f t="shared" si="8"/>
        <v>37</v>
      </c>
    </row>
    <row r="53" spans="1:26" ht="24.95" customHeight="1">
      <c r="A53" s="30">
        <v>41</v>
      </c>
      <c r="B53" s="30" t="s">
        <v>157</v>
      </c>
      <c r="C53" s="31" t="s">
        <v>158</v>
      </c>
      <c r="D53" s="47">
        <v>5</v>
      </c>
      <c r="E53" s="34">
        <v>5</v>
      </c>
      <c r="F53" s="12">
        <v>5</v>
      </c>
      <c r="G53" s="8">
        <f>SUM(LARGE(D53:F53,{1,2}))</f>
        <v>10</v>
      </c>
      <c r="H53" s="8">
        <f t="shared" si="0"/>
        <v>5</v>
      </c>
      <c r="I53" s="14">
        <f t="shared" si="1"/>
        <v>5</v>
      </c>
      <c r="J53" s="47">
        <v>25</v>
      </c>
      <c r="K53" s="47">
        <v>24</v>
      </c>
      <c r="L53" s="34">
        <v>22</v>
      </c>
      <c r="M53" s="8">
        <f>SUM(LARGE(J53:L53,{1,2}))</f>
        <v>49</v>
      </c>
      <c r="N53" s="8">
        <f t="shared" si="2"/>
        <v>4.9000000000000004</v>
      </c>
      <c r="O53" s="14">
        <f t="shared" si="3"/>
        <v>5</v>
      </c>
      <c r="P53" s="14">
        <v>5</v>
      </c>
      <c r="Q53" s="30">
        <v>98</v>
      </c>
      <c r="R53" s="17">
        <f t="shared" si="4"/>
        <v>5</v>
      </c>
      <c r="S53" s="18">
        <f t="shared" si="5"/>
        <v>20</v>
      </c>
      <c r="T53" s="47">
        <v>50</v>
      </c>
      <c r="U53" s="47">
        <v>50</v>
      </c>
      <c r="V53" s="82">
        <v>20</v>
      </c>
      <c r="W53" s="8">
        <f>SUM(LARGE(T53:V53,{1,2}))</f>
        <v>100</v>
      </c>
      <c r="X53" s="8">
        <f t="shared" si="6"/>
        <v>10</v>
      </c>
      <c r="Y53" s="19">
        <f t="shared" si="7"/>
        <v>10</v>
      </c>
      <c r="Z53" s="20">
        <f t="shared" si="8"/>
        <v>30</v>
      </c>
    </row>
    <row r="54" spans="1:26" ht="24.95" customHeight="1">
      <c r="A54" s="30">
        <v>42</v>
      </c>
      <c r="B54" s="30" t="s">
        <v>159</v>
      </c>
      <c r="C54" s="31" t="s">
        <v>160</v>
      </c>
      <c r="D54" s="47">
        <v>5</v>
      </c>
      <c r="E54" s="34">
        <v>5</v>
      </c>
      <c r="F54" s="12">
        <v>5</v>
      </c>
      <c r="G54" s="8">
        <f>SUM(LARGE(D54:F54,{1,2}))</f>
        <v>10</v>
      </c>
      <c r="H54" s="8">
        <f t="shared" si="0"/>
        <v>5</v>
      </c>
      <c r="I54" s="14">
        <f t="shared" si="1"/>
        <v>5</v>
      </c>
      <c r="J54" s="47">
        <v>25</v>
      </c>
      <c r="K54" s="47">
        <v>23</v>
      </c>
      <c r="L54" s="34">
        <v>24</v>
      </c>
      <c r="M54" s="8">
        <f>SUM(LARGE(J54:L54,{1,2}))</f>
        <v>49</v>
      </c>
      <c r="N54" s="8">
        <f t="shared" si="2"/>
        <v>4.9000000000000004</v>
      </c>
      <c r="O54" s="14">
        <f t="shared" si="3"/>
        <v>5</v>
      </c>
      <c r="P54" s="14">
        <v>5</v>
      </c>
      <c r="Q54" s="50">
        <v>76</v>
      </c>
      <c r="R54" s="17">
        <f t="shared" si="4"/>
        <v>1</v>
      </c>
      <c r="S54" s="18">
        <f t="shared" si="5"/>
        <v>16</v>
      </c>
      <c r="T54" s="47">
        <v>56</v>
      </c>
      <c r="U54" s="49" t="s">
        <v>177</v>
      </c>
      <c r="V54" s="82">
        <v>63</v>
      </c>
      <c r="W54" s="8">
        <f>SUM(LARGE(T54:V54,{1,2}))</f>
        <v>119</v>
      </c>
      <c r="X54" s="8">
        <f t="shared" si="6"/>
        <v>11.9</v>
      </c>
      <c r="Y54" s="19">
        <f t="shared" si="7"/>
        <v>12</v>
      </c>
      <c r="Z54" s="20">
        <f t="shared" si="8"/>
        <v>28</v>
      </c>
    </row>
    <row r="55" spans="1:26" ht="24.95" customHeight="1">
      <c r="A55" s="30">
        <v>43</v>
      </c>
      <c r="B55" s="30" t="s">
        <v>161</v>
      </c>
      <c r="C55" s="31" t="s">
        <v>162</v>
      </c>
      <c r="D55" s="47">
        <v>5</v>
      </c>
      <c r="E55" s="34">
        <v>5</v>
      </c>
      <c r="F55" s="12">
        <v>5</v>
      </c>
      <c r="G55" s="8">
        <f>SUM(LARGE(D55:F55,{1,2}))</f>
        <v>10</v>
      </c>
      <c r="H55" s="8">
        <f t="shared" si="0"/>
        <v>5</v>
      </c>
      <c r="I55" s="14">
        <f t="shared" si="1"/>
        <v>5</v>
      </c>
      <c r="J55" s="47">
        <v>25</v>
      </c>
      <c r="K55" s="47">
        <v>23</v>
      </c>
      <c r="L55" s="34">
        <v>25</v>
      </c>
      <c r="M55" s="8">
        <f>SUM(LARGE(J55:L55,{1,2}))</f>
        <v>50</v>
      </c>
      <c r="N55" s="8">
        <f t="shared" si="2"/>
        <v>5</v>
      </c>
      <c r="O55" s="14">
        <f t="shared" si="3"/>
        <v>5</v>
      </c>
      <c r="P55" s="14">
        <v>5</v>
      </c>
      <c r="Q55" s="30">
        <v>88</v>
      </c>
      <c r="R55" s="17">
        <f t="shared" si="4"/>
        <v>3</v>
      </c>
      <c r="S55" s="18">
        <f t="shared" si="5"/>
        <v>18</v>
      </c>
      <c r="T55" s="47">
        <v>60</v>
      </c>
      <c r="U55" s="47">
        <v>58</v>
      </c>
      <c r="V55" s="82" t="s">
        <v>177</v>
      </c>
      <c r="W55" s="8">
        <f>SUM(LARGE(T55:V55,{1,2}))</f>
        <v>118</v>
      </c>
      <c r="X55" s="8">
        <f t="shared" si="6"/>
        <v>11.8</v>
      </c>
      <c r="Y55" s="19">
        <f t="shared" si="7"/>
        <v>12</v>
      </c>
      <c r="Z55" s="20">
        <f t="shared" si="8"/>
        <v>30</v>
      </c>
    </row>
    <row r="56" spans="1:26" ht="24.95" customHeight="1">
      <c r="A56" s="30">
        <v>44</v>
      </c>
      <c r="B56" s="30" t="s">
        <v>163</v>
      </c>
      <c r="C56" s="31" t="s">
        <v>164</v>
      </c>
      <c r="D56" s="47">
        <v>5</v>
      </c>
      <c r="E56" s="34">
        <v>5</v>
      </c>
      <c r="F56" s="12">
        <v>4</v>
      </c>
      <c r="G56" s="8">
        <f>SUM(LARGE(D56:F56,{1,2}))</f>
        <v>10</v>
      </c>
      <c r="H56" s="8">
        <f t="shared" si="0"/>
        <v>5</v>
      </c>
      <c r="I56" s="14">
        <f t="shared" si="1"/>
        <v>5</v>
      </c>
      <c r="J56" s="47">
        <v>25</v>
      </c>
      <c r="K56" s="47">
        <v>22</v>
      </c>
      <c r="L56" s="34">
        <v>22</v>
      </c>
      <c r="M56" s="8">
        <f>SUM(LARGE(J56:L56,{1,2}))</f>
        <v>47</v>
      </c>
      <c r="N56" s="8">
        <f t="shared" si="2"/>
        <v>4.7</v>
      </c>
      <c r="O56" s="14">
        <f t="shared" si="3"/>
        <v>5</v>
      </c>
      <c r="P56" s="14">
        <v>5</v>
      </c>
      <c r="Q56" s="30">
        <v>87</v>
      </c>
      <c r="R56" s="17">
        <f t="shared" si="4"/>
        <v>3</v>
      </c>
      <c r="S56" s="18">
        <f t="shared" si="5"/>
        <v>18</v>
      </c>
      <c r="T56" s="47">
        <v>88</v>
      </c>
      <c r="U56" s="47">
        <v>86</v>
      </c>
      <c r="V56" s="82">
        <v>40</v>
      </c>
      <c r="W56" s="8">
        <f>SUM(LARGE(T56:V56,{1,2}))</f>
        <v>174</v>
      </c>
      <c r="X56" s="8">
        <f t="shared" si="6"/>
        <v>17.399999999999999</v>
      </c>
      <c r="Y56" s="19">
        <f t="shared" si="7"/>
        <v>18</v>
      </c>
      <c r="Z56" s="20">
        <f t="shared" si="8"/>
        <v>36</v>
      </c>
    </row>
    <row r="57" spans="1:26" ht="24.95" customHeight="1">
      <c r="A57" s="30">
        <v>45</v>
      </c>
      <c r="B57" s="30" t="s">
        <v>165</v>
      </c>
      <c r="C57" s="31" t="s">
        <v>166</v>
      </c>
      <c r="D57" s="47">
        <v>5</v>
      </c>
      <c r="E57" s="34">
        <v>5</v>
      </c>
      <c r="F57" s="12">
        <v>4</v>
      </c>
      <c r="G57" s="8">
        <f>SUM(LARGE(D57:F57,{1,2}))</f>
        <v>10</v>
      </c>
      <c r="H57" s="8">
        <f t="shared" si="0"/>
        <v>5</v>
      </c>
      <c r="I57" s="14">
        <f t="shared" si="1"/>
        <v>5</v>
      </c>
      <c r="J57" s="47">
        <v>25</v>
      </c>
      <c r="K57" s="47">
        <v>22</v>
      </c>
      <c r="L57" s="34">
        <v>23</v>
      </c>
      <c r="M57" s="8">
        <f>SUM(LARGE(J57:L57,{1,2}))</f>
        <v>48</v>
      </c>
      <c r="N57" s="8">
        <f t="shared" si="2"/>
        <v>4.8</v>
      </c>
      <c r="O57" s="14">
        <f t="shared" si="3"/>
        <v>5</v>
      </c>
      <c r="P57" s="14">
        <v>5</v>
      </c>
      <c r="Q57" s="30">
        <v>82</v>
      </c>
      <c r="R57" s="17">
        <f t="shared" si="4"/>
        <v>2</v>
      </c>
      <c r="S57" s="18">
        <f t="shared" si="5"/>
        <v>17</v>
      </c>
      <c r="T57" s="47">
        <v>70</v>
      </c>
      <c r="U57" s="47">
        <v>60</v>
      </c>
      <c r="V57" s="82">
        <v>48</v>
      </c>
      <c r="W57" s="8">
        <f>SUM(LARGE(T57:V57,{1,2}))</f>
        <v>130</v>
      </c>
      <c r="X57" s="8">
        <f t="shared" si="6"/>
        <v>13</v>
      </c>
      <c r="Y57" s="19">
        <f t="shared" si="7"/>
        <v>13</v>
      </c>
      <c r="Z57" s="20">
        <f t="shared" si="8"/>
        <v>30</v>
      </c>
    </row>
    <row r="58" spans="1:26" ht="24.95" customHeight="1">
      <c r="A58" s="30">
        <v>46</v>
      </c>
      <c r="B58" s="30" t="s">
        <v>167</v>
      </c>
      <c r="C58" s="31" t="s">
        <v>168</v>
      </c>
      <c r="D58" s="47">
        <v>5</v>
      </c>
      <c r="E58" s="34">
        <v>5</v>
      </c>
      <c r="F58" s="12">
        <v>5</v>
      </c>
      <c r="G58" s="8">
        <f>SUM(LARGE(D58:F58,{1,2}))</f>
        <v>10</v>
      </c>
      <c r="H58" s="8">
        <f t="shared" si="0"/>
        <v>5</v>
      </c>
      <c r="I58" s="14">
        <f t="shared" si="1"/>
        <v>5</v>
      </c>
      <c r="J58" s="47">
        <v>25</v>
      </c>
      <c r="K58" s="47">
        <v>22</v>
      </c>
      <c r="L58" s="34">
        <v>23</v>
      </c>
      <c r="M58" s="8">
        <f>SUM(LARGE(J58:L58,{1,2}))</f>
        <v>48</v>
      </c>
      <c r="N58" s="8">
        <f t="shared" si="2"/>
        <v>4.8</v>
      </c>
      <c r="O58" s="14">
        <f t="shared" si="3"/>
        <v>5</v>
      </c>
      <c r="P58" s="14">
        <v>5</v>
      </c>
      <c r="Q58" s="30">
        <v>88</v>
      </c>
      <c r="R58" s="17">
        <f t="shared" si="4"/>
        <v>3</v>
      </c>
      <c r="S58" s="18">
        <f t="shared" si="5"/>
        <v>18</v>
      </c>
      <c r="T58" s="47">
        <v>54</v>
      </c>
      <c r="U58" s="47">
        <v>56</v>
      </c>
      <c r="V58" s="82">
        <v>80</v>
      </c>
      <c r="W58" s="8">
        <f>SUM(LARGE(T58:V58,{1,2}))</f>
        <v>136</v>
      </c>
      <c r="X58" s="8">
        <f t="shared" si="6"/>
        <v>13.6</v>
      </c>
      <c r="Y58" s="19">
        <f t="shared" si="7"/>
        <v>14</v>
      </c>
      <c r="Z58" s="20">
        <f t="shared" si="8"/>
        <v>32</v>
      </c>
    </row>
    <row r="59" spans="1:26" ht="24.95" customHeight="1">
      <c r="A59" s="30">
        <v>47</v>
      </c>
      <c r="B59" s="30" t="s">
        <v>169</v>
      </c>
      <c r="C59" s="31" t="s">
        <v>170</v>
      </c>
      <c r="D59" s="47">
        <v>5</v>
      </c>
      <c r="E59" s="34">
        <v>5</v>
      </c>
      <c r="F59" s="12">
        <v>4</v>
      </c>
      <c r="G59" s="8">
        <f>SUM(LARGE(D59:F59,{1,2}))</f>
        <v>10</v>
      </c>
      <c r="H59" s="8">
        <f t="shared" si="0"/>
        <v>5</v>
      </c>
      <c r="I59" s="14">
        <f t="shared" si="1"/>
        <v>5</v>
      </c>
      <c r="J59" s="47">
        <v>25</v>
      </c>
      <c r="K59" s="47">
        <v>21</v>
      </c>
      <c r="L59" s="34" t="s">
        <v>177</v>
      </c>
      <c r="M59" s="8">
        <f>SUM(LARGE(J59:L59,{1,2}))</f>
        <v>46</v>
      </c>
      <c r="N59" s="8">
        <f t="shared" si="2"/>
        <v>4.5999999999999996</v>
      </c>
      <c r="O59" s="14">
        <f t="shared" si="3"/>
        <v>5</v>
      </c>
      <c r="P59" s="14">
        <v>5</v>
      </c>
      <c r="Q59" s="50">
        <v>76</v>
      </c>
      <c r="R59" s="17">
        <f t="shared" si="4"/>
        <v>1</v>
      </c>
      <c r="S59" s="18">
        <f t="shared" si="5"/>
        <v>16</v>
      </c>
      <c r="T59" s="47" t="s">
        <v>177</v>
      </c>
      <c r="U59" s="49">
        <v>42</v>
      </c>
      <c r="V59" s="82">
        <v>30</v>
      </c>
      <c r="W59" s="8">
        <f>SUM(LARGE(T59:V59,{1,2}))</f>
        <v>72</v>
      </c>
      <c r="X59" s="8">
        <f t="shared" si="6"/>
        <v>7.2</v>
      </c>
      <c r="Y59" s="19">
        <f t="shared" si="7"/>
        <v>8</v>
      </c>
      <c r="Z59" s="20">
        <f t="shared" si="8"/>
        <v>24</v>
      </c>
    </row>
    <row r="60" spans="1:26" ht="24.95" customHeight="1">
      <c r="A60" s="30">
        <v>48</v>
      </c>
      <c r="B60" s="30" t="s">
        <v>171</v>
      </c>
      <c r="C60" s="31" t="s">
        <v>172</v>
      </c>
      <c r="D60" s="47">
        <v>5</v>
      </c>
      <c r="E60" s="34">
        <v>5</v>
      </c>
      <c r="F60" s="12">
        <v>4</v>
      </c>
      <c r="G60" s="8">
        <f>SUM(LARGE(D60:F60,{1,2}))</f>
        <v>10</v>
      </c>
      <c r="H60" s="8">
        <f t="shared" si="0"/>
        <v>5</v>
      </c>
      <c r="I60" s="14">
        <f t="shared" si="1"/>
        <v>5</v>
      </c>
      <c r="J60" s="47">
        <v>25</v>
      </c>
      <c r="K60" s="47">
        <v>21</v>
      </c>
      <c r="L60" s="34" t="s">
        <v>177</v>
      </c>
      <c r="M60" s="8">
        <f>SUM(LARGE(J60:L60,{1,2}))</f>
        <v>46</v>
      </c>
      <c r="N60" s="8">
        <f t="shared" si="2"/>
        <v>4.5999999999999996</v>
      </c>
      <c r="O60" s="14">
        <f t="shared" si="3"/>
        <v>5</v>
      </c>
      <c r="P60" s="14">
        <v>5</v>
      </c>
      <c r="Q60" s="30">
        <v>79</v>
      </c>
      <c r="R60" s="17">
        <f t="shared" si="4"/>
        <v>1</v>
      </c>
      <c r="S60" s="18">
        <f t="shared" si="5"/>
        <v>16</v>
      </c>
      <c r="T60" s="47">
        <v>46</v>
      </c>
      <c r="U60" s="49" t="s">
        <v>177</v>
      </c>
      <c r="V60" s="82">
        <v>63</v>
      </c>
      <c r="W60" s="8">
        <f>SUM(LARGE(T60:V60,{1,2}))</f>
        <v>109</v>
      </c>
      <c r="X60" s="8">
        <f t="shared" si="6"/>
        <v>10.9</v>
      </c>
      <c r="Y60" s="19">
        <f t="shared" si="7"/>
        <v>11</v>
      </c>
      <c r="Z60" s="20">
        <f t="shared" si="8"/>
        <v>27</v>
      </c>
    </row>
    <row r="61" spans="1:26" ht="24.95" customHeight="1">
      <c r="A61" s="30">
        <v>49</v>
      </c>
      <c r="B61" s="30" t="s">
        <v>173</v>
      </c>
      <c r="C61" s="35" t="s">
        <v>176</v>
      </c>
      <c r="D61" s="47">
        <v>5</v>
      </c>
      <c r="E61" s="34">
        <v>5</v>
      </c>
      <c r="F61" s="12">
        <v>4</v>
      </c>
      <c r="G61" s="8">
        <f>SUM(LARGE(D61:F61,{1,2}))</f>
        <v>10</v>
      </c>
      <c r="H61" s="8">
        <f t="shared" si="0"/>
        <v>5</v>
      </c>
      <c r="I61" s="14">
        <f t="shared" si="1"/>
        <v>5</v>
      </c>
      <c r="J61" s="47">
        <v>25</v>
      </c>
      <c r="K61" s="47">
        <v>22</v>
      </c>
      <c r="L61" s="34">
        <v>21</v>
      </c>
      <c r="M61" s="8">
        <f>SUM(LARGE(J61:L61,{1,2}))</f>
        <v>47</v>
      </c>
      <c r="N61" s="8">
        <f t="shared" si="2"/>
        <v>4.7</v>
      </c>
      <c r="O61" s="14">
        <f t="shared" si="3"/>
        <v>5</v>
      </c>
      <c r="P61" s="14">
        <v>5</v>
      </c>
      <c r="Q61" s="30">
        <v>90</v>
      </c>
      <c r="R61" s="17">
        <f t="shared" si="4"/>
        <v>4</v>
      </c>
      <c r="S61" s="18">
        <f t="shared" si="5"/>
        <v>19</v>
      </c>
      <c r="T61" s="47">
        <v>82</v>
      </c>
      <c r="U61" s="47">
        <v>42</v>
      </c>
      <c r="V61" s="82">
        <v>63</v>
      </c>
      <c r="W61" s="8">
        <f>SUM(LARGE(T61:V61,{1,2}))</f>
        <v>145</v>
      </c>
      <c r="X61" s="8">
        <f t="shared" si="6"/>
        <v>14.5</v>
      </c>
      <c r="Y61" s="19">
        <f t="shared" si="7"/>
        <v>15</v>
      </c>
      <c r="Z61" s="20">
        <f t="shared" si="8"/>
        <v>34</v>
      </c>
    </row>
    <row r="62" spans="1:26" ht="24.95" customHeight="1">
      <c r="A62" s="30">
        <v>50</v>
      </c>
      <c r="B62" s="30" t="s">
        <v>174</v>
      </c>
      <c r="C62" s="31" t="s">
        <v>175</v>
      </c>
      <c r="D62" s="47">
        <v>5</v>
      </c>
      <c r="E62" s="34">
        <v>5</v>
      </c>
      <c r="F62" s="12">
        <v>5</v>
      </c>
      <c r="G62" s="8">
        <f>SUM(LARGE(D62:F62,{1,2}))</f>
        <v>10</v>
      </c>
      <c r="H62" s="8">
        <f t="shared" si="0"/>
        <v>5</v>
      </c>
      <c r="I62" s="14">
        <f t="shared" si="1"/>
        <v>5</v>
      </c>
      <c r="J62" s="47">
        <v>25</v>
      </c>
      <c r="K62" s="47">
        <v>23</v>
      </c>
      <c r="L62" s="34">
        <v>23</v>
      </c>
      <c r="M62" s="8">
        <f>SUM(LARGE(J62:L62,{1,2}))</f>
        <v>48</v>
      </c>
      <c r="N62" s="8">
        <f t="shared" si="2"/>
        <v>4.8</v>
      </c>
      <c r="O62" s="14">
        <f t="shared" si="3"/>
        <v>5</v>
      </c>
      <c r="P62" s="14">
        <v>5</v>
      </c>
      <c r="Q62" s="30">
        <v>82</v>
      </c>
      <c r="R62" s="17">
        <f t="shared" si="4"/>
        <v>2</v>
      </c>
      <c r="S62" s="18">
        <f t="shared" si="5"/>
        <v>17</v>
      </c>
      <c r="T62" s="47">
        <v>74</v>
      </c>
      <c r="U62" s="47">
        <v>60</v>
      </c>
      <c r="V62" s="82">
        <v>70</v>
      </c>
      <c r="W62" s="8">
        <f>SUM(LARGE(T62:V62,{1,2}))</f>
        <v>144</v>
      </c>
      <c r="X62" s="8">
        <f t="shared" si="6"/>
        <v>14.4</v>
      </c>
      <c r="Y62" s="19">
        <f t="shared" si="7"/>
        <v>15</v>
      </c>
      <c r="Z62" s="20">
        <f t="shared" si="8"/>
        <v>32</v>
      </c>
    </row>
    <row r="64" spans="1:26" ht="18.75">
      <c r="Z64" s="36"/>
    </row>
    <row r="66" spans="2:23" ht="15.75">
      <c r="B66" s="9" t="s">
        <v>36</v>
      </c>
      <c r="C66" s="10"/>
      <c r="L66" s="15"/>
      <c r="M66" s="9" t="s">
        <v>37</v>
      </c>
      <c r="N66" s="15"/>
      <c r="O66" s="15"/>
      <c r="Q66" s="16"/>
      <c r="W66" s="9" t="s">
        <v>38</v>
      </c>
    </row>
    <row r="67" spans="2:23" ht="15.75">
      <c r="B67" s="11" t="s">
        <v>39</v>
      </c>
      <c r="C67" s="10"/>
      <c r="L67" s="10"/>
      <c r="M67" s="11" t="s">
        <v>40</v>
      </c>
      <c r="N67" s="10"/>
      <c r="O67" s="10"/>
      <c r="Q67" s="16"/>
      <c r="W67" s="11" t="s">
        <v>41</v>
      </c>
    </row>
  </sheetData>
  <mergeCells count="19">
    <mergeCell ref="R9:S9"/>
    <mergeCell ref="T9:Z9"/>
    <mergeCell ref="D11:I11"/>
    <mergeCell ref="J11:P11"/>
    <mergeCell ref="Q11:R11"/>
    <mergeCell ref="T11:Y11"/>
    <mergeCell ref="A9:B9"/>
    <mergeCell ref="D9:G9"/>
    <mergeCell ref="H9:J9"/>
    <mergeCell ref="K9:L9"/>
    <mergeCell ref="M9:Q9"/>
    <mergeCell ref="A6:Z6"/>
    <mergeCell ref="A8:B8"/>
    <mergeCell ref="D8:G8"/>
    <mergeCell ref="H8:J8"/>
    <mergeCell ref="K8:L8"/>
    <mergeCell ref="M8:Q8"/>
    <mergeCell ref="R8:S8"/>
    <mergeCell ref="T8:Z8"/>
  </mergeCells>
  <conditionalFormatting sqref="Z13:Z62 Z64">
    <cfRule type="cellIs" dxfId="6" priority="3" operator="lessThan">
      <formula>24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opLeftCell="A50" zoomScale="80" zoomScaleNormal="80" workbookViewId="0">
      <selection activeCell="Z64" sqref="Z64"/>
    </sheetView>
  </sheetViews>
  <sheetFormatPr defaultColWidth="9" defaultRowHeight="15"/>
  <cols>
    <col min="1" max="1" width="6.28515625" customWidth="1"/>
    <col min="2" max="2" width="21.28515625" customWidth="1"/>
    <col min="3" max="3" width="25.5703125" customWidth="1"/>
    <col min="4" max="4" width="6.140625" customWidth="1"/>
    <col min="5" max="5" width="5.85546875" customWidth="1"/>
    <col min="6" max="6" width="6.28515625" customWidth="1"/>
    <col min="7" max="7" width="6.7109375" customWidth="1"/>
    <col min="8" max="8" width="6.28515625" customWidth="1"/>
    <col min="9" max="9" width="8" customWidth="1"/>
    <col min="10" max="11" width="7.140625" customWidth="1"/>
    <col min="12" max="14" width="6.7109375" customWidth="1"/>
    <col min="15" max="16" width="7.5703125" customWidth="1"/>
    <col min="17" max="17" width="8.28515625" customWidth="1"/>
    <col min="18" max="18" width="8.7109375" customWidth="1"/>
    <col min="19" max="19" width="9" customWidth="1"/>
    <col min="20" max="20" width="6.7109375" customWidth="1"/>
    <col min="21" max="21" width="6.5703125" customWidth="1"/>
    <col min="22" max="22" width="6.7109375" customWidth="1"/>
    <col min="23" max="23" width="7.28515625" customWidth="1"/>
    <col min="24" max="24" width="9.7109375" customWidth="1"/>
    <col min="25" max="25" width="7.5703125" customWidth="1"/>
    <col min="26" max="26" width="8.85546875" customWidth="1"/>
  </cols>
  <sheetData>
    <row r="1" spans="1:26">
      <c r="I1" s="13"/>
      <c r="R1" s="16"/>
    </row>
    <row r="2" spans="1:26">
      <c r="I2" s="13"/>
      <c r="R2" s="16"/>
    </row>
    <row r="3" spans="1:26">
      <c r="I3" s="13"/>
      <c r="R3" s="16"/>
    </row>
    <row r="4" spans="1:26">
      <c r="I4" s="13"/>
      <c r="R4" s="16"/>
    </row>
    <row r="5" spans="1:26">
      <c r="I5" s="13"/>
      <c r="R5" s="16"/>
    </row>
    <row r="6" spans="1:26" ht="15.75">
      <c r="A6" s="84" t="s">
        <v>0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6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87" t="s">
        <v>1</v>
      </c>
      <c r="B8" s="88"/>
      <c r="C8" s="29" t="s">
        <v>55</v>
      </c>
      <c r="D8" s="87" t="s">
        <v>2</v>
      </c>
      <c r="E8" s="88"/>
      <c r="F8" s="88"/>
      <c r="G8" s="88"/>
      <c r="H8" s="89" t="s">
        <v>73</v>
      </c>
      <c r="I8" s="89"/>
      <c r="J8" s="90"/>
      <c r="K8" s="87" t="s">
        <v>3</v>
      </c>
      <c r="L8" s="88"/>
      <c r="M8" s="89" t="s">
        <v>4</v>
      </c>
      <c r="N8" s="89"/>
      <c r="O8" s="89"/>
      <c r="P8" s="89"/>
      <c r="Q8" s="90"/>
      <c r="R8" s="91" t="s">
        <v>5</v>
      </c>
      <c r="S8" s="91"/>
      <c r="T8" s="92" t="s">
        <v>187</v>
      </c>
      <c r="U8" s="91"/>
      <c r="V8" s="91"/>
      <c r="W8" s="91"/>
      <c r="X8" s="91"/>
      <c r="Y8" s="91"/>
      <c r="Z8" s="93"/>
    </row>
    <row r="9" spans="1:26" ht="15.75">
      <c r="A9" s="94" t="s">
        <v>6</v>
      </c>
      <c r="B9" s="95"/>
      <c r="C9" s="29" t="s">
        <v>72</v>
      </c>
      <c r="D9" s="87" t="s">
        <v>7</v>
      </c>
      <c r="E9" s="88"/>
      <c r="F9" s="88"/>
      <c r="G9" s="88"/>
      <c r="H9" s="89" t="s">
        <v>74</v>
      </c>
      <c r="I9" s="89"/>
      <c r="J9" s="90"/>
      <c r="K9" s="95" t="s">
        <v>8</v>
      </c>
      <c r="L9" s="95"/>
      <c r="M9" s="96" t="s">
        <v>75</v>
      </c>
      <c r="N9" s="96"/>
      <c r="O9" s="96"/>
      <c r="P9" s="96"/>
      <c r="Q9" s="96"/>
      <c r="R9" s="87" t="s">
        <v>9</v>
      </c>
      <c r="S9" s="88"/>
      <c r="T9" s="97" t="s">
        <v>186</v>
      </c>
      <c r="U9" s="88"/>
      <c r="V9" s="88"/>
      <c r="W9" s="88"/>
      <c r="X9" s="88"/>
      <c r="Y9" s="88"/>
      <c r="Z9" s="98"/>
    </row>
    <row r="10" spans="1:26">
      <c r="A10" s="2"/>
      <c r="B10" s="2"/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3"/>
      <c r="W10" s="2"/>
      <c r="X10" s="2"/>
      <c r="Y10" s="2"/>
      <c r="Z10" s="2"/>
    </row>
    <row r="11" spans="1:26" ht="15.75">
      <c r="A11" s="37"/>
      <c r="B11" s="37"/>
      <c r="C11" s="37"/>
      <c r="D11" s="99" t="s">
        <v>10</v>
      </c>
      <c r="E11" s="100"/>
      <c r="F11" s="100"/>
      <c r="G11" s="100"/>
      <c r="H11" s="100"/>
      <c r="I11" s="101"/>
      <c r="J11" s="102" t="s">
        <v>11</v>
      </c>
      <c r="K11" s="100"/>
      <c r="L11" s="100"/>
      <c r="M11" s="100"/>
      <c r="N11" s="100"/>
      <c r="O11" s="100"/>
      <c r="P11" s="101"/>
      <c r="Q11" s="102" t="s">
        <v>12</v>
      </c>
      <c r="R11" s="101"/>
      <c r="S11" s="37"/>
      <c r="T11" s="102" t="s">
        <v>13</v>
      </c>
      <c r="U11" s="100"/>
      <c r="V11" s="100"/>
      <c r="W11" s="100"/>
      <c r="X11" s="100"/>
      <c r="Y11" s="101"/>
      <c r="Z11" s="38"/>
    </row>
    <row r="12" spans="1:26" ht="82.5" customHeight="1">
      <c r="A12" s="39" t="s">
        <v>14</v>
      </c>
      <c r="B12" s="40" t="s">
        <v>15</v>
      </c>
      <c r="C12" s="40" t="s">
        <v>16</v>
      </c>
      <c r="D12" s="56" t="s">
        <v>17</v>
      </c>
      <c r="E12" s="56" t="s">
        <v>18</v>
      </c>
      <c r="F12" s="56" t="s">
        <v>19</v>
      </c>
      <c r="G12" s="56" t="s">
        <v>20</v>
      </c>
      <c r="H12" s="56" t="s">
        <v>21</v>
      </c>
      <c r="I12" s="57" t="s">
        <v>22</v>
      </c>
      <c r="J12" s="56" t="s">
        <v>23</v>
      </c>
      <c r="K12" s="56" t="s">
        <v>24</v>
      </c>
      <c r="L12" s="56" t="s">
        <v>25</v>
      </c>
      <c r="M12" s="56" t="s">
        <v>26</v>
      </c>
      <c r="N12" s="56" t="s">
        <v>21</v>
      </c>
      <c r="O12" s="58" t="s">
        <v>27</v>
      </c>
      <c r="P12" s="57" t="s">
        <v>28</v>
      </c>
      <c r="Q12" s="59" t="s">
        <v>29</v>
      </c>
      <c r="R12" s="58" t="s">
        <v>30</v>
      </c>
      <c r="S12" s="60" t="s">
        <v>31</v>
      </c>
      <c r="T12" s="51" t="s">
        <v>179</v>
      </c>
      <c r="U12" s="51" t="s">
        <v>180</v>
      </c>
      <c r="V12" s="51" t="s">
        <v>181</v>
      </c>
      <c r="W12" s="59" t="s">
        <v>32</v>
      </c>
      <c r="X12" s="59" t="s">
        <v>33</v>
      </c>
      <c r="Y12" s="60" t="s">
        <v>34</v>
      </c>
      <c r="Z12" s="61" t="s">
        <v>35</v>
      </c>
    </row>
    <row r="13" spans="1:26" ht="24.95" customHeight="1">
      <c r="A13" s="30">
        <v>1</v>
      </c>
      <c r="B13" s="30" t="s">
        <v>77</v>
      </c>
      <c r="C13" s="31" t="s">
        <v>78</v>
      </c>
      <c r="D13" s="68">
        <v>5</v>
      </c>
      <c r="E13" s="69">
        <v>5</v>
      </c>
      <c r="F13" s="69">
        <v>4</v>
      </c>
      <c r="G13" s="62">
        <f>SUM(LARGE(D13:F13,{1,2}))</f>
        <v>10</v>
      </c>
      <c r="H13" s="62">
        <f>G13/2</f>
        <v>5</v>
      </c>
      <c r="I13" s="63">
        <f>ROUNDUP(H13,0)</f>
        <v>5</v>
      </c>
      <c r="J13" s="68">
        <v>25</v>
      </c>
      <c r="K13" s="68">
        <v>24</v>
      </c>
      <c r="L13" s="70">
        <v>24</v>
      </c>
      <c r="M13" s="62">
        <f>SUM(LARGE(J13:L13,{1,2}))</f>
        <v>49</v>
      </c>
      <c r="N13" s="62">
        <f>ROUNDUP(M13/50*5,1)</f>
        <v>4.9000000000000004</v>
      </c>
      <c r="O13" s="63">
        <f>ROUNDUP(N13,0)</f>
        <v>5</v>
      </c>
      <c r="P13" s="63">
        <v>5</v>
      </c>
      <c r="Q13" s="68" t="s">
        <v>178</v>
      </c>
      <c r="R13" s="64">
        <f>IF(Q13&gt;=95,5,IF(Q13&gt;=90,4,IF(Q13&gt;=85,3, IF(Q13&gt;=80,2,IF(Q13&gt;=75,1,0)))))</f>
        <v>5</v>
      </c>
      <c r="S13" s="65">
        <f>I13+O13+P13+R13</f>
        <v>20</v>
      </c>
      <c r="T13" s="71">
        <v>42</v>
      </c>
      <c r="U13" s="68">
        <v>40</v>
      </c>
      <c r="V13" s="69" t="s">
        <v>177</v>
      </c>
      <c r="W13" s="62">
        <f>SUM(LARGE(T13:V13,{1,2}))</f>
        <v>82</v>
      </c>
      <c r="X13" s="62">
        <f>W13/10</f>
        <v>8.1999999999999993</v>
      </c>
      <c r="Y13" s="66">
        <f>ROUNDUP(X13,0)</f>
        <v>9</v>
      </c>
      <c r="Z13" s="67">
        <f>S13+Y13</f>
        <v>29</v>
      </c>
    </row>
    <row r="14" spans="1:26" ht="24.95" customHeight="1">
      <c r="A14" s="30">
        <v>2</v>
      </c>
      <c r="B14" s="30" t="s">
        <v>79</v>
      </c>
      <c r="C14" s="31" t="s">
        <v>80</v>
      </c>
      <c r="D14" s="68">
        <v>5</v>
      </c>
      <c r="E14" s="69">
        <v>5</v>
      </c>
      <c r="F14" s="69">
        <v>5</v>
      </c>
      <c r="G14" s="62">
        <f>SUM(LARGE(D14:F14,{1,2}))</f>
        <v>10</v>
      </c>
      <c r="H14" s="62">
        <f t="shared" ref="H14:H62" si="0">G14/2</f>
        <v>5</v>
      </c>
      <c r="I14" s="63">
        <f t="shared" ref="I14:I62" si="1">ROUNDUP(H14,0)</f>
        <v>5</v>
      </c>
      <c r="J14" s="68">
        <v>25</v>
      </c>
      <c r="K14" s="68">
        <v>23</v>
      </c>
      <c r="L14" s="70">
        <v>24</v>
      </c>
      <c r="M14" s="62">
        <f>SUM(LARGE(J14:L14,{1,2}))</f>
        <v>49</v>
      </c>
      <c r="N14" s="62">
        <f t="shared" ref="N14:N62" si="2">ROUNDUP(M14/50*5,1)</f>
        <v>4.9000000000000004</v>
      </c>
      <c r="O14" s="63">
        <f t="shared" ref="O14:O62" si="3">ROUNDUP(N14,0)</f>
        <v>5</v>
      </c>
      <c r="P14" s="63">
        <v>5</v>
      </c>
      <c r="Q14" s="68">
        <v>87</v>
      </c>
      <c r="R14" s="64">
        <f t="shared" ref="R14:R62" si="4">IF(Q14&gt;=95,5,IF(Q14&gt;=90,4,IF(Q14&gt;=85,3, IF(Q14&gt;=80,2,IF(Q14&gt;=75,1,0)))))</f>
        <v>3</v>
      </c>
      <c r="S14" s="65">
        <f t="shared" ref="S14:S62" si="5">I14+O14+P14+R14</f>
        <v>18</v>
      </c>
      <c r="T14" s="71">
        <v>88</v>
      </c>
      <c r="U14" s="68">
        <v>90</v>
      </c>
      <c r="V14" s="69" t="s">
        <v>177</v>
      </c>
      <c r="W14" s="62">
        <f>SUM(LARGE(T14:V14,{1,2}))</f>
        <v>178</v>
      </c>
      <c r="X14" s="62">
        <f t="shared" ref="X14:X62" si="6">W14/10</f>
        <v>17.8</v>
      </c>
      <c r="Y14" s="66">
        <f t="shared" ref="Y14:Y62" si="7">ROUNDUP(X14,0)</f>
        <v>18</v>
      </c>
      <c r="Z14" s="67">
        <f t="shared" ref="Z14:Z62" si="8">S14+Y14</f>
        <v>36</v>
      </c>
    </row>
    <row r="15" spans="1:26" ht="24.95" customHeight="1">
      <c r="A15" s="30">
        <v>3</v>
      </c>
      <c r="B15" s="30" t="s">
        <v>81</v>
      </c>
      <c r="C15" s="31" t="s">
        <v>82</v>
      </c>
      <c r="D15" s="68">
        <v>5</v>
      </c>
      <c r="E15" s="69">
        <v>5</v>
      </c>
      <c r="F15" s="69">
        <v>4</v>
      </c>
      <c r="G15" s="62">
        <f>SUM(LARGE(D15:F15,{1,2}))</f>
        <v>10</v>
      </c>
      <c r="H15" s="62">
        <f t="shared" si="0"/>
        <v>5</v>
      </c>
      <c r="I15" s="63">
        <f t="shared" si="1"/>
        <v>5</v>
      </c>
      <c r="J15" s="68">
        <v>25</v>
      </c>
      <c r="K15" s="68">
        <v>24</v>
      </c>
      <c r="L15" s="70">
        <v>24</v>
      </c>
      <c r="M15" s="62">
        <f>SUM(LARGE(J15:L15,{1,2}))</f>
        <v>49</v>
      </c>
      <c r="N15" s="62">
        <f t="shared" si="2"/>
        <v>4.9000000000000004</v>
      </c>
      <c r="O15" s="63">
        <f t="shared" si="3"/>
        <v>5</v>
      </c>
      <c r="P15" s="63">
        <v>5</v>
      </c>
      <c r="Q15" s="68">
        <v>93</v>
      </c>
      <c r="R15" s="64">
        <f t="shared" si="4"/>
        <v>4</v>
      </c>
      <c r="S15" s="65">
        <f t="shared" si="5"/>
        <v>19</v>
      </c>
      <c r="T15" s="71">
        <v>26</v>
      </c>
      <c r="U15" s="68">
        <v>40</v>
      </c>
      <c r="V15" s="69">
        <v>18</v>
      </c>
      <c r="W15" s="62">
        <f>SUM(LARGE(T15:V15,{1,2}))</f>
        <v>66</v>
      </c>
      <c r="X15" s="62">
        <f t="shared" si="6"/>
        <v>6.6</v>
      </c>
      <c r="Y15" s="66">
        <f t="shared" si="7"/>
        <v>7</v>
      </c>
      <c r="Z15" s="67">
        <f t="shared" si="8"/>
        <v>26</v>
      </c>
    </row>
    <row r="16" spans="1:26" ht="24.95" customHeight="1">
      <c r="A16" s="30">
        <v>4</v>
      </c>
      <c r="B16" s="30" t="s">
        <v>83</v>
      </c>
      <c r="C16" s="31" t="s">
        <v>84</v>
      </c>
      <c r="D16" s="68">
        <v>5</v>
      </c>
      <c r="E16" s="69">
        <v>5</v>
      </c>
      <c r="F16" s="69">
        <v>4</v>
      </c>
      <c r="G16" s="62">
        <f>SUM(LARGE(D16:F16,{1,2}))</f>
        <v>10</v>
      </c>
      <c r="H16" s="62">
        <f t="shared" si="0"/>
        <v>5</v>
      </c>
      <c r="I16" s="63">
        <f t="shared" si="1"/>
        <v>5</v>
      </c>
      <c r="J16" s="68">
        <v>25</v>
      </c>
      <c r="K16" s="68">
        <v>24</v>
      </c>
      <c r="L16" s="70">
        <v>24</v>
      </c>
      <c r="M16" s="62">
        <f>SUM(LARGE(J16:L16,{1,2}))</f>
        <v>49</v>
      </c>
      <c r="N16" s="62">
        <f t="shared" si="2"/>
        <v>4.9000000000000004</v>
      </c>
      <c r="O16" s="63">
        <f t="shared" si="3"/>
        <v>5</v>
      </c>
      <c r="P16" s="63">
        <v>5</v>
      </c>
      <c r="Q16" s="68">
        <v>89</v>
      </c>
      <c r="R16" s="64">
        <f t="shared" si="4"/>
        <v>3</v>
      </c>
      <c r="S16" s="65">
        <f t="shared" si="5"/>
        <v>18</v>
      </c>
      <c r="T16" s="71">
        <v>32</v>
      </c>
      <c r="U16" s="68">
        <v>42</v>
      </c>
      <c r="V16" s="69" t="s">
        <v>177</v>
      </c>
      <c r="W16" s="62">
        <f>SUM(LARGE(T16:V16,{1,2}))</f>
        <v>74</v>
      </c>
      <c r="X16" s="62">
        <f t="shared" si="6"/>
        <v>7.4</v>
      </c>
      <c r="Y16" s="66">
        <f t="shared" si="7"/>
        <v>8</v>
      </c>
      <c r="Z16" s="67">
        <f t="shared" si="8"/>
        <v>26</v>
      </c>
    </row>
    <row r="17" spans="1:26" ht="24.95" customHeight="1">
      <c r="A17" s="30">
        <v>5</v>
      </c>
      <c r="B17" s="30" t="s">
        <v>85</v>
      </c>
      <c r="C17" s="31" t="s">
        <v>86</v>
      </c>
      <c r="D17" s="68">
        <v>5</v>
      </c>
      <c r="E17" s="69">
        <v>5</v>
      </c>
      <c r="F17" s="69">
        <v>5</v>
      </c>
      <c r="G17" s="62">
        <f>SUM(LARGE(D17:F17,{1,2}))</f>
        <v>10</v>
      </c>
      <c r="H17" s="62">
        <f t="shared" si="0"/>
        <v>5</v>
      </c>
      <c r="I17" s="63">
        <f t="shared" si="1"/>
        <v>5</v>
      </c>
      <c r="J17" s="68">
        <v>25</v>
      </c>
      <c r="K17" s="68">
        <v>24</v>
      </c>
      <c r="L17" s="70" t="s">
        <v>177</v>
      </c>
      <c r="M17" s="62">
        <f>SUM(LARGE(J17:L17,{1,2}))</f>
        <v>49</v>
      </c>
      <c r="N17" s="62">
        <f t="shared" si="2"/>
        <v>4.9000000000000004</v>
      </c>
      <c r="O17" s="63">
        <f t="shared" si="3"/>
        <v>5</v>
      </c>
      <c r="P17" s="63">
        <v>5</v>
      </c>
      <c r="Q17" s="68">
        <v>83</v>
      </c>
      <c r="R17" s="64">
        <f t="shared" si="4"/>
        <v>2</v>
      </c>
      <c r="S17" s="65">
        <f t="shared" si="5"/>
        <v>17</v>
      </c>
      <c r="T17" s="71">
        <v>56.000000000000007</v>
      </c>
      <c r="U17" s="68">
        <v>14.000000000000002</v>
      </c>
      <c r="V17" s="69">
        <v>43</v>
      </c>
      <c r="W17" s="62">
        <f>SUM(LARGE(T17:V17,{1,2}))</f>
        <v>99</v>
      </c>
      <c r="X17" s="62">
        <f t="shared" si="6"/>
        <v>9.9</v>
      </c>
      <c r="Y17" s="66">
        <f t="shared" si="7"/>
        <v>10</v>
      </c>
      <c r="Z17" s="67">
        <f t="shared" si="8"/>
        <v>27</v>
      </c>
    </row>
    <row r="18" spans="1:26" ht="24.95" customHeight="1">
      <c r="A18" s="30">
        <v>6</v>
      </c>
      <c r="B18" s="30" t="s">
        <v>87</v>
      </c>
      <c r="C18" s="31" t="s">
        <v>88</v>
      </c>
      <c r="D18" s="68">
        <v>5</v>
      </c>
      <c r="E18" s="69">
        <v>5</v>
      </c>
      <c r="F18" s="69">
        <v>5</v>
      </c>
      <c r="G18" s="62">
        <f>SUM(LARGE(D18:F18,{1,2}))</f>
        <v>10</v>
      </c>
      <c r="H18" s="62">
        <f t="shared" si="0"/>
        <v>5</v>
      </c>
      <c r="I18" s="63">
        <f t="shared" si="1"/>
        <v>5</v>
      </c>
      <c r="J18" s="68">
        <v>25</v>
      </c>
      <c r="K18" s="68">
        <v>24</v>
      </c>
      <c r="L18" s="70">
        <v>24</v>
      </c>
      <c r="M18" s="62">
        <f>SUM(LARGE(J18:L18,{1,2}))</f>
        <v>49</v>
      </c>
      <c r="N18" s="62">
        <f t="shared" si="2"/>
        <v>4.9000000000000004</v>
      </c>
      <c r="O18" s="63">
        <f t="shared" si="3"/>
        <v>5</v>
      </c>
      <c r="P18" s="63">
        <v>5</v>
      </c>
      <c r="Q18" s="68">
        <v>91</v>
      </c>
      <c r="R18" s="64">
        <f t="shared" si="4"/>
        <v>4</v>
      </c>
      <c r="S18" s="65">
        <f t="shared" si="5"/>
        <v>19</v>
      </c>
      <c r="T18" s="71">
        <v>48</v>
      </c>
      <c r="U18" s="68">
        <v>74</v>
      </c>
      <c r="V18" s="69" t="s">
        <v>177</v>
      </c>
      <c r="W18" s="62">
        <f>SUM(LARGE(T18:V18,{1,2}))</f>
        <v>122</v>
      </c>
      <c r="X18" s="62">
        <f t="shared" si="6"/>
        <v>12.2</v>
      </c>
      <c r="Y18" s="66">
        <f t="shared" si="7"/>
        <v>13</v>
      </c>
      <c r="Z18" s="67">
        <f t="shared" si="8"/>
        <v>32</v>
      </c>
    </row>
    <row r="19" spans="1:26" ht="24.95" customHeight="1">
      <c r="A19" s="30">
        <v>7</v>
      </c>
      <c r="B19" s="30" t="s">
        <v>89</v>
      </c>
      <c r="C19" s="31" t="s">
        <v>90</v>
      </c>
      <c r="D19" s="68">
        <v>5</v>
      </c>
      <c r="E19" s="69">
        <v>5</v>
      </c>
      <c r="F19" s="69">
        <v>5</v>
      </c>
      <c r="G19" s="62">
        <f>SUM(LARGE(D19:F19,{1,2}))</f>
        <v>10</v>
      </c>
      <c r="H19" s="62">
        <f t="shared" si="0"/>
        <v>5</v>
      </c>
      <c r="I19" s="63">
        <f t="shared" si="1"/>
        <v>5</v>
      </c>
      <c r="J19" s="68">
        <v>25</v>
      </c>
      <c r="K19" s="68">
        <v>24</v>
      </c>
      <c r="L19" s="70">
        <v>24</v>
      </c>
      <c r="M19" s="62">
        <f>SUM(LARGE(J19:L19,{1,2}))</f>
        <v>49</v>
      </c>
      <c r="N19" s="62">
        <f t="shared" si="2"/>
        <v>4.9000000000000004</v>
      </c>
      <c r="O19" s="63">
        <f t="shared" si="3"/>
        <v>5</v>
      </c>
      <c r="P19" s="63">
        <v>5</v>
      </c>
      <c r="Q19" s="68">
        <v>92</v>
      </c>
      <c r="R19" s="64">
        <f t="shared" si="4"/>
        <v>4</v>
      </c>
      <c r="S19" s="65">
        <f t="shared" si="5"/>
        <v>19</v>
      </c>
      <c r="T19" s="71">
        <v>86</v>
      </c>
      <c r="U19" s="68">
        <v>90</v>
      </c>
      <c r="V19" s="69">
        <v>58</v>
      </c>
      <c r="W19" s="62">
        <f>SUM(LARGE(T19:V19,{1,2}))</f>
        <v>176</v>
      </c>
      <c r="X19" s="62">
        <f t="shared" si="6"/>
        <v>17.600000000000001</v>
      </c>
      <c r="Y19" s="66">
        <f t="shared" si="7"/>
        <v>18</v>
      </c>
      <c r="Z19" s="67">
        <f t="shared" si="8"/>
        <v>37</v>
      </c>
    </row>
    <row r="20" spans="1:26" ht="24.95" customHeight="1">
      <c r="A20" s="30">
        <v>8</v>
      </c>
      <c r="B20" s="30" t="s">
        <v>91</v>
      </c>
      <c r="C20" s="31" t="s">
        <v>92</v>
      </c>
      <c r="D20" s="68">
        <v>5</v>
      </c>
      <c r="E20" s="69">
        <v>5</v>
      </c>
      <c r="F20" s="69">
        <v>5</v>
      </c>
      <c r="G20" s="62">
        <f>SUM(LARGE(D20:F20,{1,2}))</f>
        <v>10</v>
      </c>
      <c r="H20" s="62">
        <f t="shared" si="0"/>
        <v>5</v>
      </c>
      <c r="I20" s="63">
        <f t="shared" si="1"/>
        <v>5</v>
      </c>
      <c r="J20" s="68">
        <v>25</v>
      </c>
      <c r="K20" s="68">
        <v>24</v>
      </c>
      <c r="L20" s="70">
        <v>24</v>
      </c>
      <c r="M20" s="62">
        <f>SUM(LARGE(J20:L20,{1,2}))</f>
        <v>49</v>
      </c>
      <c r="N20" s="62">
        <f t="shared" si="2"/>
        <v>4.9000000000000004</v>
      </c>
      <c r="O20" s="63">
        <f t="shared" si="3"/>
        <v>5</v>
      </c>
      <c r="P20" s="63">
        <v>5</v>
      </c>
      <c r="Q20" s="68">
        <v>91</v>
      </c>
      <c r="R20" s="64">
        <f t="shared" si="4"/>
        <v>4</v>
      </c>
      <c r="S20" s="65">
        <f t="shared" si="5"/>
        <v>19</v>
      </c>
      <c r="T20" s="71">
        <v>64</v>
      </c>
      <c r="U20" s="68">
        <v>84</v>
      </c>
      <c r="V20" s="69">
        <v>83</v>
      </c>
      <c r="W20" s="62">
        <f>SUM(LARGE(T20:V20,{1,2}))</f>
        <v>167</v>
      </c>
      <c r="X20" s="62">
        <f t="shared" si="6"/>
        <v>16.7</v>
      </c>
      <c r="Y20" s="66">
        <f t="shared" si="7"/>
        <v>17</v>
      </c>
      <c r="Z20" s="67">
        <f t="shared" si="8"/>
        <v>36</v>
      </c>
    </row>
    <row r="21" spans="1:26" ht="24.95" customHeight="1">
      <c r="A21" s="30">
        <v>9</v>
      </c>
      <c r="B21" s="30" t="s">
        <v>93</v>
      </c>
      <c r="C21" s="31" t="s">
        <v>94</v>
      </c>
      <c r="D21" s="68">
        <v>5</v>
      </c>
      <c r="E21" s="69">
        <v>5</v>
      </c>
      <c r="F21" s="69">
        <v>5</v>
      </c>
      <c r="G21" s="62">
        <f>SUM(LARGE(D21:F21,{1,2}))</f>
        <v>10</v>
      </c>
      <c r="H21" s="62">
        <f t="shared" si="0"/>
        <v>5</v>
      </c>
      <c r="I21" s="63">
        <f t="shared" si="1"/>
        <v>5</v>
      </c>
      <c r="J21" s="68">
        <v>25</v>
      </c>
      <c r="K21" s="68">
        <v>24</v>
      </c>
      <c r="L21" s="70">
        <v>24</v>
      </c>
      <c r="M21" s="62">
        <f>SUM(LARGE(J21:L21,{1,2}))</f>
        <v>49</v>
      </c>
      <c r="N21" s="62">
        <f t="shared" si="2"/>
        <v>4.9000000000000004</v>
      </c>
      <c r="O21" s="63">
        <f t="shared" si="3"/>
        <v>5</v>
      </c>
      <c r="P21" s="63">
        <v>5</v>
      </c>
      <c r="Q21" s="68">
        <v>98</v>
      </c>
      <c r="R21" s="64">
        <f t="shared" si="4"/>
        <v>5</v>
      </c>
      <c r="S21" s="65">
        <f t="shared" si="5"/>
        <v>20</v>
      </c>
      <c r="T21" s="71">
        <v>52</v>
      </c>
      <c r="U21" s="68">
        <v>0</v>
      </c>
      <c r="V21" s="69">
        <v>55</v>
      </c>
      <c r="W21" s="62">
        <f>SUM(LARGE(T21:V21,{1,2}))</f>
        <v>107</v>
      </c>
      <c r="X21" s="62">
        <f t="shared" si="6"/>
        <v>10.7</v>
      </c>
      <c r="Y21" s="66">
        <f t="shared" si="7"/>
        <v>11</v>
      </c>
      <c r="Z21" s="67">
        <f t="shared" si="8"/>
        <v>31</v>
      </c>
    </row>
    <row r="22" spans="1:26" ht="24.95" customHeight="1">
      <c r="A22" s="30">
        <v>10</v>
      </c>
      <c r="B22" s="30" t="s">
        <v>95</v>
      </c>
      <c r="C22" s="31" t="s">
        <v>96</v>
      </c>
      <c r="D22" s="68">
        <v>5</v>
      </c>
      <c r="E22" s="69">
        <v>5</v>
      </c>
      <c r="F22" s="69">
        <v>4</v>
      </c>
      <c r="G22" s="62">
        <f>SUM(LARGE(D22:F22,{1,2}))</f>
        <v>10</v>
      </c>
      <c r="H22" s="62">
        <f t="shared" si="0"/>
        <v>5</v>
      </c>
      <c r="I22" s="63">
        <f t="shared" si="1"/>
        <v>5</v>
      </c>
      <c r="J22" s="68">
        <v>25</v>
      </c>
      <c r="K22" s="68">
        <v>24</v>
      </c>
      <c r="L22" s="70">
        <v>24</v>
      </c>
      <c r="M22" s="62">
        <f>SUM(LARGE(J22:L22,{1,2}))</f>
        <v>49</v>
      </c>
      <c r="N22" s="62">
        <f t="shared" si="2"/>
        <v>4.9000000000000004</v>
      </c>
      <c r="O22" s="63">
        <f t="shared" si="3"/>
        <v>5</v>
      </c>
      <c r="P22" s="63">
        <v>5</v>
      </c>
      <c r="Q22" s="68">
        <v>88</v>
      </c>
      <c r="R22" s="64">
        <f t="shared" si="4"/>
        <v>3</v>
      </c>
      <c r="S22" s="65">
        <f t="shared" si="5"/>
        <v>18</v>
      </c>
      <c r="T22" s="71">
        <v>42</v>
      </c>
      <c r="U22" s="68">
        <v>40</v>
      </c>
      <c r="V22" s="69">
        <v>13</v>
      </c>
      <c r="W22" s="62">
        <f>SUM(LARGE(T22:V22,{1,2}))</f>
        <v>82</v>
      </c>
      <c r="X22" s="62">
        <f t="shared" si="6"/>
        <v>8.1999999999999993</v>
      </c>
      <c r="Y22" s="66">
        <f t="shared" si="7"/>
        <v>9</v>
      </c>
      <c r="Z22" s="67">
        <f t="shared" si="8"/>
        <v>27</v>
      </c>
    </row>
    <row r="23" spans="1:26" ht="24.95" customHeight="1">
      <c r="A23" s="30">
        <v>11</v>
      </c>
      <c r="B23" s="30" t="s">
        <v>97</v>
      </c>
      <c r="C23" s="31" t="s">
        <v>98</v>
      </c>
      <c r="D23" s="68">
        <v>5</v>
      </c>
      <c r="E23" s="69">
        <v>5</v>
      </c>
      <c r="F23" s="69">
        <v>5</v>
      </c>
      <c r="G23" s="62">
        <f>SUM(LARGE(D23:F23,{1,2}))</f>
        <v>10</v>
      </c>
      <c r="H23" s="62">
        <f t="shared" si="0"/>
        <v>5</v>
      </c>
      <c r="I23" s="63">
        <f t="shared" si="1"/>
        <v>5</v>
      </c>
      <c r="J23" s="68">
        <v>24</v>
      </c>
      <c r="K23" s="68">
        <v>22</v>
      </c>
      <c r="L23" s="70" t="s">
        <v>177</v>
      </c>
      <c r="M23" s="62">
        <f>SUM(LARGE(J23:L23,{1,2}))</f>
        <v>46</v>
      </c>
      <c r="N23" s="62">
        <f t="shared" si="2"/>
        <v>4.5999999999999996</v>
      </c>
      <c r="O23" s="63">
        <f t="shared" si="3"/>
        <v>5</v>
      </c>
      <c r="P23" s="63">
        <v>5</v>
      </c>
      <c r="Q23" s="68">
        <v>82</v>
      </c>
      <c r="R23" s="64">
        <f t="shared" si="4"/>
        <v>2</v>
      </c>
      <c r="S23" s="65">
        <f t="shared" si="5"/>
        <v>17</v>
      </c>
      <c r="T23" s="71">
        <v>26</v>
      </c>
      <c r="U23" s="68">
        <v>40</v>
      </c>
      <c r="V23" s="69">
        <v>18</v>
      </c>
      <c r="W23" s="62">
        <f>SUM(LARGE(T23:V23,{1,2}))</f>
        <v>66</v>
      </c>
      <c r="X23" s="62">
        <f t="shared" si="6"/>
        <v>6.6</v>
      </c>
      <c r="Y23" s="66">
        <f t="shared" si="7"/>
        <v>7</v>
      </c>
      <c r="Z23" s="67">
        <f t="shared" si="8"/>
        <v>24</v>
      </c>
    </row>
    <row r="24" spans="1:26" ht="24.95" customHeight="1">
      <c r="A24" s="30">
        <v>12</v>
      </c>
      <c r="B24" s="30" t="s">
        <v>99</v>
      </c>
      <c r="C24" s="31" t="s">
        <v>100</v>
      </c>
      <c r="D24" s="68">
        <v>5</v>
      </c>
      <c r="E24" s="69">
        <v>5</v>
      </c>
      <c r="F24" s="69">
        <v>5</v>
      </c>
      <c r="G24" s="62">
        <f>SUM(LARGE(D24:F24,{1,2}))</f>
        <v>10</v>
      </c>
      <c r="H24" s="62">
        <f t="shared" si="0"/>
        <v>5</v>
      </c>
      <c r="I24" s="63">
        <f t="shared" si="1"/>
        <v>5</v>
      </c>
      <c r="J24" s="68">
        <v>24</v>
      </c>
      <c r="K24" s="68">
        <v>24</v>
      </c>
      <c r="L24" s="70">
        <v>24</v>
      </c>
      <c r="M24" s="62">
        <f>SUM(LARGE(J24:L24,{1,2}))</f>
        <v>48</v>
      </c>
      <c r="N24" s="62">
        <f t="shared" si="2"/>
        <v>4.8</v>
      </c>
      <c r="O24" s="63">
        <f t="shared" si="3"/>
        <v>5</v>
      </c>
      <c r="P24" s="63">
        <v>5</v>
      </c>
      <c r="Q24" s="68">
        <v>86</v>
      </c>
      <c r="R24" s="64">
        <f t="shared" si="4"/>
        <v>3</v>
      </c>
      <c r="S24" s="65">
        <f t="shared" si="5"/>
        <v>18</v>
      </c>
      <c r="T24" s="71">
        <v>62</v>
      </c>
      <c r="U24" s="68">
        <v>50</v>
      </c>
      <c r="V24" s="69" t="s">
        <v>177</v>
      </c>
      <c r="W24" s="62">
        <f>SUM(LARGE(T24:V24,{1,2}))</f>
        <v>112</v>
      </c>
      <c r="X24" s="62">
        <f t="shared" si="6"/>
        <v>11.2</v>
      </c>
      <c r="Y24" s="66">
        <f t="shared" si="7"/>
        <v>12</v>
      </c>
      <c r="Z24" s="67">
        <f t="shared" si="8"/>
        <v>30</v>
      </c>
    </row>
    <row r="25" spans="1:26" ht="24.95" customHeight="1">
      <c r="A25" s="30">
        <v>13</v>
      </c>
      <c r="B25" s="30" t="s">
        <v>101</v>
      </c>
      <c r="C25" s="31" t="s">
        <v>102</v>
      </c>
      <c r="D25" s="68">
        <v>5</v>
      </c>
      <c r="E25" s="69">
        <v>5</v>
      </c>
      <c r="F25" s="69">
        <v>5</v>
      </c>
      <c r="G25" s="62">
        <f>SUM(LARGE(D25:F25,{1,2}))</f>
        <v>10</v>
      </c>
      <c r="H25" s="62">
        <f t="shared" si="0"/>
        <v>5</v>
      </c>
      <c r="I25" s="63">
        <f t="shared" si="1"/>
        <v>5</v>
      </c>
      <c r="J25" s="68">
        <v>24</v>
      </c>
      <c r="K25" s="68">
        <v>24</v>
      </c>
      <c r="L25" s="70">
        <v>24</v>
      </c>
      <c r="M25" s="62">
        <f>SUM(LARGE(J25:L25,{1,2}))</f>
        <v>48</v>
      </c>
      <c r="N25" s="62">
        <f t="shared" si="2"/>
        <v>4.8</v>
      </c>
      <c r="O25" s="63">
        <f t="shared" si="3"/>
        <v>5</v>
      </c>
      <c r="P25" s="63">
        <v>5</v>
      </c>
      <c r="Q25" s="72">
        <v>71</v>
      </c>
      <c r="R25" s="64">
        <f t="shared" si="4"/>
        <v>0</v>
      </c>
      <c r="S25" s="65">
        <f t="shared" si="5"/>
        <v>15</v>
      </c>
      <c r="T25" s="71">
        <v>54</v>
      </c>
      <c r="U25" s="68">
        <v>16</v>
      </c>
      <c r="V25" s="69">
        <v>40</v>
      </c>
      <c r="W25" s="62">
        <f>SUM(LARGE(T25:V25,{1,2}))</f>
        <v>94</v>
      </c>
      <c r="X25" s="62">
        <f t="shared" si="6"/>
        <v>9.4</v>
      </c>
      <c r="Y25" s="66">
        <f t="shared" si="7"/>
        <v>10</v>
      </c>
      <c r="Z25" s="67">
        <f t="shared" si="8"/>
        <v>25</v>
      </c>
    </row>
    <row r="26" spans="1:26" ht="24.95" customHeight="1">
      <c r="A26" s="30">
        <v>14</v>
      </c>
      <c r="B26" s="30" t="s">
        <v>103</v>
      </c>
      <c r="C26" s="31" t="s">
        <v>104</v>
      </c>
      <c r="D26" s="68">
        <v>5</v>
      </c>
      <c r="E26" s="69">
        <v>5</v>
      </c>
      <c r="F26" s="69">
        <v>5</v>
      </c>
      <c r="G26" s="62">
        <f>SUM(LARGE(D26:F26,{1,2}))</f>
        <v>10</v>
      </c>
      <c r="H26" s="62">
        <f t="shared" si="0"/>
        <v>5</v>
      </c>
      <c r="I26" s="63">
        <f t="shared" si="1"/>
        <v>5</v>
      </c>
      <c r="J26" s="68">
        <v>25</v>
      </c>
      <c r="K26" s="68">
        <v>24</v>
      </c>
      <c r="L26" s="70">
        <v>24</v>
      </c>
      <c r="M26" s="62">
        <f>SUM(LARGE(J26:L26,{1,2}))</f>
        <v>49</v>
      </c>
      <c r="N26" s="62">
        <f t="shared" si="2"/>
        <v>4.9000000000000004</v>
      </c>
      <c r="O26" s="63">
        <f t="shared" si="3"/>
        <v>5</v>
      </c>
      <c r="P26" s="63">
        <v>5</v>
      </c>
      <c r="Q26" s="68">
        <v>97</v>
      </c>
      <c r="R26" s="64">
        <f t="shared" si="4"/>
        <v>5</v>
      </c>
      <c r="S26" s="65">
        <f t="shared" si="5"/>
        <v>20</v>
      </c>
      <c r="T26" s="71">
        <v>60</v>
      </c>
      <c r="U26" s="68">
        <v>90</v>
      </c>
      <c r="V26" s="69">
        <v>40</v>
      </c>
      <c r="W26" s="62">
        <f>SUM(LARGE(T26:V26,{1,2}))</f>
        <v>150</v>
      </c>
      <c r="X26" s="62">
        <f t="shared" si="6"/>
        <v>15</v>
      </c>
      <c r="Y26" s="66">
        <f t="shared" si="7"/>
        <v>15</v>
      </c>
      <c r="Z26" s="67">
        <f t="shared" si="8"/>
        <v>35</v>
      </c>
    </row>
    <row r="27" spans="1:26" ht="24.95" customHeight="1">
      <c r="A27" s="30">
        <v>15</v>
      </c>
      <c r="B27" s="30" t="s">
        <v>105</v>
      </c>
      <c r="C27" s="31" t="s">
        <v>106</v>
      </c>
      <c r="D27" s="68">
        <v>5</v>
      </c>
      <c r="E27" s="69">
        <v>5</v>
      </c>
      <c r="F27" s="69">
        <v>5</v>
      </c>
      <c r="G27" s="62">
        <f>SUM(LARGE(D27:F27,{1,2}))</f>
        <v>10</v>
      </c>
      <c r="H27" s="62">
        <f t="shared" si="0"/>
        <v>5</v>
      </c>
      <c r="I27" s="63">
        <f t="shared" si="1"/>
        <v>5</v>
      </c>
      <c r="J27" s="68">
        <v>25</v>
      </c>
      <c r="K27" s="68">
        <v>24</v>
      </c>
      <c r="L27" s="70">
        <v>24</v>
      </c>
      <c r="M27" s="62">
        <f>SUM(LARGE(J27:L27,{1,2}))</f>
        <v>49</v>
      </c>
      <c r="N27" s="62">
        <f t="shared" si="2"/>
        <v>4.9000000000000004</v>
      </c>
      <c r="O27" s="63">
        <f t="shared" si="3"/>
        <v>5</v>
      </c>
      <c r="P27" s="63">
        <v>5</v>
      </c>
      <c r="Q27" s="68">
        <v>86</v>
      </c>
      <c r="R27" s="64">
        <f t="shared" si="4"/>
        <v>3</v>
      </c>
      <c r="S27" s="65">
        <f t="shared" si="5"/>
        <v>18</v>
      </c>
      <c r="T27" s="71">
        <v>42</v>
      </c>
      <c r="U27" s="68">
        <v>56.000000000000007</v>
      </c>
      <c r="V27" s="69">
        <v>58</v>
      </c>
      <c r="W27" s="62">
        <f>SUM(LARGE(T27:V27,{1,2}))</f>
        <v>114</v>
      </c>
      <c r="X27" s="62">
        <f t="shared" si="6"/>
        <v>11.4</v>
      </c>
      <c r="Y27" s="66">
        <f t="shared" si="7"/>
        <v>12</v>
      </c>
      <c r="Z27" s="67">
        <f t="shared" si="8"/>
        <v>30</v>
      </c>
    </row>
    <row r="28" spans="1:26" ht="24.95" customHeight="1">
      <c r="A28" s="30">
        <v>16</v>
      </c>
      <c r="B28" s="30" t="s">
        <v>107</v>
      </c>
      <c r="C28" s="31" t="s">
        <v>108</v>
      </c>
      <c r="D28" s="68">
        <v>5</v>
      </c>
      <c r="E28" s="69">
        <v>5</v>
      </c>
      <c r="F28" s="69">
        <v>5</v>
      </c>
      <c r="G28" s="62">
        <f>SUM(LARGE(D28:F28,{1,2}))</f>
        <v>10</v>
      </c>
      <c r="H28" s="62">
        <f t="shared" si="0"/>
        <v>5</v>
      </c>
      <c r="I28" s="63">
        <f t="shared" si="1"/>
        <v>5</v>
      </c>
      <c r="J28" s="68">
        <v>25</v>
      </c>
      <c r="K28" s="68">
        <v>24</v>
      </c>
      <c r="L28" s="70" t="s">
        <v>177</v>
      </c>
      <c r="M28" s="62">
        <f>SUM(LARGE(J28:L28,{1,2}))</f>
        <v>49</v>
      </c>
      <c r="N28" s="62">
        <f t="shared" si="2"/>
        <v>4.9000000000000004</v>
      </c>
      <c r="O28" s="63">
        <f t="shared" si="3"/>
        <v>5</v>
      </c>
      <c r="P28" s="63">
        <v>5</v>
      </c>
      <c r="Q28" s="72">
        <v>73</v>
      </c>
      <c r="R28" s="64">
        <f t="shared" si="4"/>
        <v>0</v>
      </c>
      <c r="S28" s="65">
        <f t="shared" si="5"/>
        <v>15</v>
      </c>
      <c r="T28" s="71">
        <v>6</v>
      </c>
      <c r="U28" s="68">
        <v>20</v>
      </c>
      <c r="V28" s="69">
        <v>61</v>
      </c>
      <c r="W28" s="62">
        <f>SUM(LARGE(T28:V28,{1,2}))</f>
        <v>81</v>
      </c>
      <c r="X28" s="62">
        <f t="shared" si="6"/>
        <v>8.1</v>
      </c>
      <c r="Y28" s="66">
        <f t="shared" si="7"/>
        <v>9</v>
      </c>
      <c r="Z28" s="67">
        <f t="shared" si="8"/>
        <v>24</v>
      </c>
    </row>
    <row r="29" spans="1:26" ht="24.95" customHeight="1">
      <c r="A29" s="30">
        <v>17</v>
      </c>
      <c r="B29" s="30" t="s">
        <v>109</v>
      </c>
      <c r="C29" s="31" t="s">
        <v>110</v>
      </c>
      <c r="D29" s="68">
        <v>5</v>
      </c>
      <c r="E29" s="69">
        <v>5</v>
      </c>
      <c r="F29" s="69">
        <v>5</v>
      </c>
      <c r="G29" s="62">
        <f>SUM(LARGE(D29:F29,{1,2}))</f>
        <v>10</v>
      </c>
      <c r="H29" s="62">
        <f t="shared" si="0"/>
        <v>5</v>
      </c>
      <c r="I29" s="63">
        <f t="shared" si="1"/>
        <v>5</v>
      </c>
      <c r="J29" s="68">
        <v>23</v>
      </c>
      <c r="K29" s="68">
        <v>24</v>
      </c>
      <c r="L29" s="70">
        <v>24</v>
      </c>
      <c r="M29" s="62">
        <f>SUM(LARGE(J29:L29,{1,2}))</f>
        <v>48</v>
      </c>
      <c r="N29" s="62">
        <f t="shared" si="2"/>
        <v>4.8</v>
      </c>
      <c r="O29" s="63">
        <f t="shared" si="3"/>
        <v>5</v>
      </c>
      <c r="P29" s="63">
        <v>5</v>
      </c>
      <c r="Q29" s="68">
        <v>91</v>
      </c>
      <c r="R29" s="64">
        <f t="shared" si="4"/>
        <v>4</v>
      </c>
      <c r="S29" s="65">
        <f t="shared" si="5"/>
        <v>19</v>
      </c>
      <c r="T29" s="71">
        <v>26</v>
      </c>
      <c r="U29" s="68">
        <v>60</v>
      </c>
      <c r="V29" s="69" t="s">
        <v>177</v>
      </c>
      <c r="W29" s="62">
        <f>SUM(LARGE(T29:V29,{1,2}))</f>
        <v>86</v>
      </c>
      <c r="X29" s="62">
        <f t="shared" si="6"/>
        <v>8.6</v>
      </c>
      <c r="Y29" s="66">
        <f t="shared" si="7"/>
        <v>9</v>
      </c>
      <c r="Z29" s="67">
        <f t="shared" si="8"/>
        <v>28</v>
      </c>
    </row>
    <row r="30" spans="1:26" ht="24.95" customHeight="1">
      <c r="A30" s="30">
        <v>18</v>
      </c>
      <c r="B30" s="30" t="s">
        <v>111</v>
      </c>
      <c r="C30" s="31" t="s">
        <v>112</v>
      </c>
      <c r="D30" s="68">
        <v>5</v>
      </c>
      <c r="E30" s="69">
        <v>5</v>
      </c>
      <c r="F30" s="69">
        <v>5</v>
      </c>
      <c r="G30" s="62">
        <f>SUM(LARGE(D30:F30,{1,2}))</f>
        <v>10</v>
      </c>
      <c r="H30" s="62">
        <f t="shared" si="0"/>
        <v>5</v>
      </c>
      <c r="I30" s="63">
        <f t="shared" si="1"/>
        <v>5</v>
      </c>
      <c r="J30" s="68">
        <v>24</v>
      </c>
      <c r="K30" s="68">
        <v>24</v>
      </c>
      <c r="L30" s="70">
        <v>23</v>
      </c>
      <c r="M30" s="62">
        <f>SUM(LARGE(J30:L30,{1,2}))</f>
        <v>48</v>
      </c>
      <c r="N30" s="62">
        <f t="shared" si="2"/>
        <v>4.8</v>
      </c>
      <c r="O30" s="63">
        <f t="shared" si="3"/>
        <v>5</v>
      </c>
      <c r="P30" s="63">
        <v>5</v>
      </c>
      <c r="Q30" s="68">
        <v>84</v>
      </c>
      <c r="R30" s="64">
        <f t="shared" si="4"/>
        <v>2</v>
      </c>
      <c r="S30" s="65">
        <f t="shared" si="5"/>
        <v>17</v>
      </c>
      <c r="T30" s="71">
        <v>32</v>
      </c>
      <c r="U30" s="68">
        <v>40</v>
      </c>
      <c r="V30" s="69" t="s">
        <v>177</v>
      </c>
      <c r="W30" s="62">
        <f>SUM(LARGE(T30:V30,{1,2}))</f>
        <v>72</v>
      </c>
      <c r="X30" s="62">
        <f t="shared" si="6"/>
        <v>7.2</v>
      </c>
      <c r="Y30" s="66">
        <f t="shared" si="7"/>
        <v>8</v>
      </c>
      <c r="Z30" s="67">
        <f t="shared" si="8"/>
        <v>25</v>
      </c>
    </row>
    <row r="31" spans="1:26" ht="24.95" customHeight="1">
      <c r="A31" s="30">
        <v>19</v>
      </c>
      <c r="B31" s="30" t="s">
        <v>113</v>
      </c>
      <c r="C31" s="31" t="s">
        <v>114</v>
      </c>
      <c r="D31" s="68">
        <v>5</v>
      </c>
      <c r="E31" s="69">
        <v>5</v>
      </c>
      <c r="F31" s="69">
        <v>5</v>
      </c>
      <c r="G31" s="62">
        <f>SUM(LARGE(D31:F31,{1,2}))</f>
        <v>10</v>
      </c>
      <c r="H31" s="62">
        <f t="shared" si="0"/>
        <v>5</v>
      </c>
      <c r="I31" s="63">
        <f t="shared" si="1"/>
        <v>5</v>
      </c>
      <c r="J31" s="68">
        <v>25</v>
      </c>
      <c r="K31" s="68">
        <v>24</v>
      </c>
      <c r="L31" s="70">
        <v>24</v>
      </c>
      <c r="M31" s="62">
        <f>SUM(LARGE(J31:L31,{1,2}))</f>
        <v>49</v>
      </c>
      <c r="N31" s="62">
        <f t="shared" si="2"/>
        <v>4.9000000000000004</v>
      </c>
      <c r="O31" s="63">
        <f t="shared" si="3"/>
        <v>5</v>
      </c>
      <c r="P31" s="63">
        <v>5</v>
      </c>
      <c r="Q31" s="68">
        <v>91</v>
      </c>
      <c r="R31" s="64">
        <f t="shared" si="4"/>
        <v>4</v>
      </c>
      <c r="S31" s="65">
        <f t="shared" si="5"/>
        <v>19</v>
      </c>
      <c r="T31" s="71">
        <v>42</v>
      </c>
      <c r="U31" s="68">
        <v>60</v>
      </c>
      <c r="V31" s="69">
        <v>55</v>
      </c>
      <c r="W31" s="62">
        <f>SUM(LARGE(T31:V31,{1,2}))</f>
        <v>115</v>
      </c>
      <c r="X31" s="62">
        <f t="shared" si="6"/>
        <v>11.5</v>
      </c>
      <c r="Y31" s="66">
        <f t="shared" si="7"/>
        <v>12</v>
      </c>
      <c r="Z31" s="67">
        <f t="shared" si="8"/>
        <v>31</v>
      </c>
    </row>
    <row r="32" spans="1:26" ht="24.95" customHeight="1">
      <c r="A32" s="30">
        <v>20</v>
      </c>
      <c r="B32" s="30" t="s">
        <v>115</v>
      </c>
      <c r="C32" s="31" t="s">
        <v>116</v>
      </c>
      <c r="D32" s="68">
        <v>5</v>
      </c>
      <c r="E32" s="69">
        <v>5</v>
      </c>
      <c r="F32" s="69">
        <v>5</v>
      </c>
      <c r="G32" s="62">
        <f>SUM(LARGE(D32:F32,{1,2}))</f>
        <v>10</v>
      </c>
      <c r="H32" s="62">
        <f t="shared" si="0"/>
        <v>5</v>
      </c>
      <c r="I32" s="63">
        <f t="shared" si="1"/>
        <v>5</v>
      </c>
      <c r="J32" s="68">
        <v>25</v>
      </c>
      <c r="K32" s="68">
        <v>24</v>
      </c>
      <c r="L32" s="70">
        <v>24</v>
      </c>
      <c r="M32" s="62">
        <f>SUM(LARGE(J32:L32,{1,2}))</f>
        <v>49</v>
      </c>
      <c r="N32" s="62">
        <f t="shared" si="2"/>
        <v>4.9000000000000004</v>
      </c>
      <c r="O32" s="63">
        <f t="shared" si="3"/>
        <v>5</v>
      </c>
      <c r="P32" s="63">
        <v>5</v>
      </c>
      <c r="Q32" s="68">
        <v>90</v>
      </c>
      <c r="R32" s="64">
        <f t="shared" si="4"/>
        <v>4</v>
      </c>
      <c r="S32" s="65">
        <f t="shared" si="5"/>
        <v>19</v>
      </c>
      <c r="T32" s="71">
        <v>44</v>
      </c>
      <c r="U32" s="68">
        <v>50</v>
      </c>
      <c r="V32" s="69">
        <v>20</v>
      </c>
      <c r="W32" s="62">
        <f>SUM(LARGE(T32:V32,{1,2}))</f>
        <v>94</v>
      </c>
      <c r="X32" s="62">
        <f t="shared" si="6"/>
        <v>9.4</v>
      </c>
      <c r="Y32" s="66">
        <f t="shared" si="7"/>
        <v>10</v>
      </c>
      <c r="Z32" s="67">
        <f t="shared" si="8"/>
        <v>29</v>
      </c>
    </row>
    <row r="33" spans="1:26" ht="24.95" customHeight="1">
      <c r="A33" s="30">
        <v>21</v>
      </c>
      <c r="B33" s="30" t="s">
        <v>117</v>
      </c>
      <c r="C33" s="31" t="s">
        <v>118</v>
      </c>
      <c r="D33" s="68">
        <v>5</v>
      </c>
      <c r="E33" s="69">
        <v>5</v>
      </c>
      <c r="F33" s="69">
        <v>5</v>
      </c>
      <c r="G33" s="62">
        <f>SUM(LARGE(D33:F33,{1,2}))</f>
        <v>10</v>
      </c>
      <c r="H33" s="62">
        <f t="shared" si="0"/>
        <v>5</v>
      </c>
      <c r="I33" s="63">
        <f t="shared" si="1"/>
        <v>5</v>
      </c>
      <c r="J33" s="68">
        <v>25</v>
      </c>
      <c r="K33" s="68">
        <v>24</v>
      </c>
      <c r="L33" s="70">
        <v>24</v>
      </c>
      <c r="M33" s="62">
        <f>SUM(LARGE(J33:L33,{1,2}))</f>
        <v>49</v>
      </c>
      <c r="N33" s="62">
        <f t="shared" si="2"/>
        <v>4.9000000000000004</v>
      </c>
      <c r="O33" s="63">
        <f t="shared" si="3"/>
        <v>5</v>
      </c>
      <c r="P33" s="63">
        <v>5</v>
      </c>
      <c r="Q33" s="68">
        <v>86</v>
      </c>
      <c r="R33" s="64">
        <f t="shared" si="4"/>
        <v>3</v>
      </c>
      <c r="S33" s="65">
        <f t="shared" si="5"/>
        <v>18</v>
      </c>
      <c r="T33" s="71">
        <v>48</v>
      </c>
      <c r="U33" s="68">
        <v>76</v>
      </c>
      <c r="V33" s="69" t="s">
        <v>177</v>
      </c>
      <c r="W33" s="62">
        <f>SUM(LARGE(T33:V33,{1,2}))</f>
        <v>124</v>
      </c>
      <c r="X33" s="62">
        <f t="shared" si="6"/>
        <v>12.4</v>
      </c>
      <c r="Y33" s="66">
        <f t="shared" si="7"/>
        <v>13</v>
      </c>
      <c r="Z33" s="67">
        <f t="shared" si="8"/>
        <v>31</v>
      </c>
    </row>
    <row r="34" spans="1:26" ht="24.95" customHeight="1">
      <c r="A34" s="30">
        <v>22</v>
      </c>
      <c r="B34" s="30" t="s">
        <v>119</v>
      </c>
      <c r="C34" s="31" t="s">
        <v>120</v>
      </c>
      <c r="D34" s="68">
        <v>5</v>
      </c>
      <c r="E34" s="69">
        <v>5</v>
      </c>
      <c r="F34" s="69">
        <v>5</v>
      </c>
      <c r="G34" s="62">
        <f>SUM(LARGE(D34:F34,{1,2}))</f>
        <v>10</v>
      </c>
      <c r="H34" s="62">
        <f t="shared" si="0"/>
        <v>5</v>
      </c>
      <c r="I34" s="63">
        <f t="shared" si="1"/>
        <v>5</v>
      </c>
      <c r="J34" s="68">
        <v>25</v>
      </c>
      <c r="K34" s="68">
        <v>24</v>
      </c>
      <c r="L34" s="70">
        <v>24</v>
      </c>
      <c r="M34" s="62">
        <f>SUM(LARGE(J34:L34,{1,2}))</f>
        <v>49</v>
      </c>
      <c r="N34" s="62">
        <f t="shared" si="2"/>
        <v>4.9000000000000004</v>
      </c>
      <c r="O34" s="63">
        <f t="shared" si="3"/>
        <v>5</v>
      </c>
      <c r="P34" s="63">
        <v>5</v>
      </c>
      <c r="Q34" s="68">
        <v>82</v>
      </c>
      <c r="R34" s="64">
        <f t="shared" si="4"/>
        <v>2</v>
      </c>
      <c r="S34" s="65">
        <f t="shared" si="5"/>
        <v>17</v>
      </c>
      <c r="T34" s="71">
        <v>42</v>
      </c>
      <c r="U34" s="68">
        <v>70</v>
      </c>
      <c r="V34" s="69">
        <v>43</v>
      </c>
      <c r="W34" s="62">
        <f>SUM(LARGE(T34:V34,{1,2}))</f>
        <v>113</v>
      </c>
      <c r="X34" s="62">
        <f t="shared" si="6"/>
        <v>11.3</v>
      </c>
      <c r="Y34" s="66">
        <f t="shared" si="7"/>
        <v>12</v>
      </c>
      <c r="Z34" s="67">
        <f t="shared" si="8"/>
        <v>29</v>
      </c>
    </row>
    <row r="35" spans="1:26" ht="24.95" customHeight="1">
      <c r="A35" s="30">
        <v>23</v>
      </c>
      <c r="B35" s="30" t="s">
        <v>121</v>
      </c>
      <c r="C35" s="31" t="s">
        <v>122</v>
      </c>
      <c r="D35" s="68">
        <v>5</v>
      </c>
      <c r="E35" s="69">
        <v>5</v>
      </c>
      <c r="F35" s="69">
        <v>5</v>
      </c>
      <c r="G35" s="62">
        <f>SUM(LARGE(D35:F35,{1,2}))</f>
        <v>10</v>
      </c>
      <c r="H35" s="62">
        <f t="shared" si="0"/>
        <v>5</v>
      </c>
      <c r="I35" s="63">
        <f t="shared" si="1"/>
        <v>5</v>
      </c>
      <c r="J35" s="68">
        <v>23</v>
      </c>
      <c r="K35" s="68" t="s">
        <v>177</v>
      </c>
      <c r="L35" s="70">
        <v>22</v>
      </c>
      <c r="M35" s="62">
        <f>SUM(LARGE(J35:L35,{1,2}))</f>
        <v>45</v>
      </c>
      <c r="N35" s="62">
        <f t="shared" si="2"/>
        <v>4.5</v>
      </c>
      <c r="O35" s="63">
        <f t="shared" si="3"/>
        <v>5</v>
      </c>
      <c r="P35" s="63">
        <v>5</v>
      </c>
      <c r="Q35" s="68">
        <v>96</v>
      </c>
      <c r="R35" s="64">
        <f t="shared" si="4"/>
        <v>5</v>
      </c>
      <c r="S35" s="65">
        <f t="shared" si="5"/>
        <v>20</v>
      </c>
      <c r="T35" s="71">
        <v>44</v>
      </c>
      <c r="U35" s="68">
        <v>80</v>
      </c>
      <c r="V35" s="69">
        <v>85</v>
      </c>
      <c r="W35" s="62">
        <f>SUM(LARGE(T35:V35,{1,2}))</f>
        <v>165</v>
      </c>
      <c r="X35" s="62">
        <f t="shared" si="6"/>
        <v>16.5</v>
      </c>
      <c r="Y35" s="66">
        <f t="shared" si="7"/>
        <v>17</v>
      </c>
      <c r="Z35" s="67">
        <f t="shared" si="8"/>
        <v>37</v>
      </c>
    </row>
    <row r="36" spans="1:26" ht="24.95" customHeight="1">
      <c r="A36" s="30">
        <v>24</v>
      </c>
      <c r="B36" s="30" t="s">
        <v>123</v>
      </c>
      <c r="C36" s="31" t="s">
        <v>124</v>
      </c>
      <c r="D36" s="68">
        <v>5</v>
      </c>
      <c r="E36" s="69">
        <v>5</v>
      </c>
      <c r="F36" s="69">
        <v>5</v>
      </c>
      <c r="G36" s="62">
        <f>SUM(LARGE(D36:F36,{1,2}))</f>
        <v>10</v>
      </c>
      <c r="H36" s="62">
        <f t="shared" si="0"/>
        <v>5</v>
      </c>
      <c r="I36" s="63">
        <f t="shared" si="1"/>
        <v>5</v>
      </c>
      <c r="J36" s="68">
        <v>25</v>
      </c>
      <c r="K36" s="68">
        <v>23</v>
      </c>
      <c r="L36" s="70">
        <v>24</v>
      </c>
      <c r="M36" s="62">
        <f>SUM(LARGE(J36:L36,{1,2}))</f>
        <v>49</v>
      </c>
      <c r="N36" s="62">
        <f t="shared" si="2"/>
        <v>4.9000000000000004</v>
      </c>
      <c r="O36" s="63">
        <f t="shared" si="3"/>
        <v>5</v>
      </c>
      <c r="P36" s="63">
        <v>5</v>
      </c>
      <c r="Q36" s="68">
        <v>90</v>
      </c>
      <c r="R36" s="64">
        <f t="shared" si="4"/>
        <v>4</v>
      </c>
      <c r="S36" s="65">
        <f t="shared" si="5"/>
        <v>19</v>
      </c>
      <c r="T36" s="71">
        <v>57.999999999999993</v>
      </c>
      <c r="U36" s="68">
        <v>64</v>
      </c>
      <c r="V36" s="69" t="s">
        <v>177</v>
      </c>
      <c r="W36" s="62">
        <f>SUM(LARGE(T36:V36,{1,2}))</f>
        <v>122</v>
      </c>
      <c r="X36" s="62">
        <f t="shared" si="6"/>
        <v>12.2</v>
      </c>
      <c r="Y36" s="66">
        <f t="shared" si="7"/>
        <v>13</v>
      </c>
      <c r="Z36" s="67">
        <f t="shared" si="8"/>
        <v>32</v>
      </c>
    </row>
    <row r="37" spans="1:26" ht="24.95" customHeight="1">
      <c r="A37" s="30">
        <v>25</v>
      </c>
      <c r="B37" s="30" t="s">
        <v>125</v>
      </c>
      <c r="C37" s="31" t="s">
        <v>126</v>
      </c>
      <c r="D37" s="68">
        <v>5</v>
      </c>
      <c r="E37" s="69">
        <v>5</v>
      </c>
      <c r="F37" s="69">
        <v>5</v>
      </c>
      <c r="G37" s="62">
        <f>SUM(LARGE(D37:F37,{1,2}))</f>
        <v>10</v>
      </c>
      <c r="H37" s="62">
        <f t="shared" si="0"/>
        <v>5</v>
      </c>
      <c r="I37" s="63">
        <f t="shared" si="1"/>
        <v>5</v>
      </c>
      <c r="J37" s="68">
        <v>25</v>
      </c>
      <c r="K37" s="68">
        <v>24</v>
      </c>
      <c r="L37" s="70">
        <v>21</v>
      </c>
      <c r="M37" s="62">
        <f>SUM(LARGE(J37:L37,{1,2}))</f>
        <v>49</v>
      </c>
      <c r="N37" s="62">
        <f t="shared" si="2"/>
        <v>4.9000000000000004</v>
      </c>
      <c r="O37" s="63">
        <f t="shared" si="3"/>
        <v>5</v>
      </c>
      <c r="P37" s="63">
        <v>5</v>
      </c>
      <c r="Q37" s="68">
        <v>90</v>
      </c>
      <c r="R37" s="64">
        <f t="shared" si="4"/>
        <v>4</v>
      </c>
      <c r="S37" s="65">
        <f t="shared" si="5"/>
        <v>19</v>
      </c>
      <c r="T37" s="71">
        <v>26</v>
      </c>
      <c r="U37" s="68">
        <v>40</v>
      </c>
      <c r="V37" s="69">
        <v>25</v>
      </c>
      <c r="W37" s="62">
        <f>SUM(LARGE(T37:V37,{1,2}))</f>
        <v>66</v>
      </c>
      <c r="X37" s="62">
        <f t="shared" si="6"/>
        <v>6.6</v>
      </c>
      <c r="Y37" s="66">
        <f t="shared" si="7"/>
        <v>7</v>
      </c>
      <c r="Z37" s="67">
        <f t="shared" si="8"/>
        <v>26</v>
      </c>
    </row>
    <row r="38" spans="1:26" ht="24.95" customHeight="1">
      <c r="A38" s="30">
        <v>26</v>
      </c>
      <c r="B38" s="30" t="s">
        <v>127</v>
      </c>
      <c r="C38" s="31" t="s">
        <v>128</v>
      </c>
      <c r="D38" s="68">
        <v>5</v>
      </c>
      <c r="E38" s="69">
        <v>5</v>
      </c>
      <c r="F38" s="69">
        <v>5</v>
      </c>
      <c r="G38" s="62">
        <f>SUM(LARGE(D38:F38,{1,2}))</f>
        <v>10</v>
      </c>
      <c r="H38" s="62">
        <f t="shared" si="0"/>
        <v>5</v>
      </c>
      <c r="I38" s="63">
        <f t="shared" si="1"/>
        <v>5</v>
      </c>
      <c r="J38" s="68">
        <v>25</v>
      </c>
      <c r="K38" s="68">
        <v>24</v>
      </c>
      <c r="L38" s="70">
        <v>23</v>
      </c>
      <c r="M38" s="62">
        <f>SUM(LARGE(J38:L38,{1,2}))</f>
        <v>49</v>
      </c>
      <c r="N38" s="62">
        <f t="shared" si="2"/>
        <v>4.9000000000000004</v>
      </c>
      <c r="O38" s="63">
        <f t="shared" si="3"/>
        <v>5</v>
      </c>
      <c r="P38" s="63">
        <v>5</v>
      </c>
      <c r="Q38" s="68">
        <v>84</v>
      </c>
      <c r="R38" s="64">
        <f t="shared" si="4"/>
        <v>2</v>
      </c>
      <c r="S38" s="65">
        <f t="shared" si="5"/>
        <v>17</v>
      </c>
      <c r="T38" s="71">
        <v>48</v>
      </c>
      <c r="U38" s="68">
        <v>30</v>
      </c>
      <c r="V38" s="69">
        <v>5</v>
      </c>
      <c r="W38" s="62">
        <f>SUM(LARGE(T38:V38,{1,2}))</f>
        <v>78</v>
      </c>
      <c r="X38" s="62">
        <f t="shared" si="6"/>
        <v>7.8</v>
      </c>
      <c r="Y38" s="66">
        <f t="shared" si="7"/>
        <v>8</v>
      </c>
      <c r="Z38" s="67">
        <f t="shared" si="8"/>
        <v>25</v>
      </c>
    </row>
    <row r="39" spans="1:26" ht="24.95" customHeight="1">
      <c r="A39" s="30">
        <v>27</v>
      </c>
      <c r="B39" s="30" t="s">
        <v>129</v>
      </c>
      <c r="C39" s="31" t="s">
        <v>130</v>
      </c>
      <c r="D39" s="68">
        <v>5</v>
      </c>
      <c r="E39" s="69">
        <v>5</v>
      </c>
      <c r="F39" s="69">
        <v>5</v>
      </c>
      <c r="G39" s="62">
        <f>SUM(LARGE(D39:F39,{1,2}))</f>
        <v>10</v>
      </c>
      <c r="H39" s="62">
        <f t="shared" si="0"/>
        <v>5</v>
      </c>
      <c r="I39" s="63">
        <f t="shared" si="1"/>
        <v>5</v>
      </c>
      <c r="J39" s="68">
        <v>24</v>
      </c>
      <c r="K39" s="68">
        <v>24</v>
      </c>
      <c r="L39" s="70">
        <v>24</v>
      </c>
      <c r="M39" s="62">
        <f>SUM(LARGE(J39:L39,{1,2}))</f>
        <v>48</v>
      </c>
      <c r="N39" s="62">
        <f t="shared" si="2"/>
        <v>4.8</v>
      </c>
      <c r="O39" s="63">
        <f t="shared" si="3"/>
        <v>5</v>
      </c>
      <c r="P39" s="63">
        <v>5</v>
      </c>
      <c r="Q39" s="68">
        <v>86</v>
      </c>
      <c r="R39" s="64">
        <f t="shared" si="4"/>
        <v>3</v>
      </c>
      <c r="S39" s="65">
        <f t="shared" si="5"/>
        <v>18</v>
      </c>
      <c r="T39" s="71">
        <v>34</v>
      </c>
      <c r="U39" s="68">
        <v>28.000000000000004</v>
      </c>
      <c r="V39" s="69">
        <v>25</v>
      </c>
      <c r="W39" s="62">
        <f>SUM(LARGE(T39:V39,{1,2}))</f>
        <v>62</v>
      </c>
      <c r="X39" s="62">
        <f t="shared" si="6"/>
        <v>6.2</v>
      </c>
      <c r="Y39" s="66">
        <f t="shared" si="7"/>
        <v>7</v>
      </c>
      <c r="Z39" s="67">
        <f t="shared" si="8"/>
        <v>25</v>
      </c>
    </row>
    <row r="40" spans="1:26" ht="24.95" customHeight="1">
      <c r="A40" s="30">
        <v>28</v>
      </c>
      <c r="B40" s="30" t="s">
        <v>131</v>
      </c>
      <c r="C40" s="31" t="s">
        <v>132</v>
      </c>
      <c r="D40" s="68">
        <v>5</v>
      </c>
      <c r="E40" s="69">
        <v>5</v>
      </c>
      <c r="F40" s="69">
        <v>5</v>
      </c>
      <c r="G40" s="62">
        <f>SUM(LARGE(D40:F40,{1,2}))</f>
        <v>10</v>
      </c>
      <c r="H40" s="62">
        <f t="shared" si="0"/>
        <v>5</v>
      </c>
      <c r="I40" s="63">
        <f t="shared" si="1"/>
        <v>5</v>
      </c>
      <c r="J40" s="68">
        <v>24</v>
      </c>
      <c r="K40" s="68">
        <v>24</v>
      </c>
      <c r="L40" s="70">
        <v>23</v>
      </c>
      <c r="M40" s="62">
        <f>SUM(LARGE(J40:L40,{1,2}))</f>
        <v>48</v>
      </c>
      <c r="N40" s="62">
        <f t="shared" si="2"/>
        <v>4.8</v>
      </c>
      <c r="O40" s="63">
        <f t="shared" si="3"/>
        <v>5</v>
      </c>
      <c r="P40" s="63">
        <v>5</v>
      </c>
      <c r="Q40" s="68">
        <v>83</v>
      </c>
      <c r="R40" s="64">
        <f t="shared" si="4"/>
        <v>2</v>
      </c>
      <c r="S40" s="65">
        <f t="shared" si="5"/>
        <v>17</v>
      </c>
      <c r="T40" s="71">
        <v>60</v>
      </c>
      <c r="U40" s="68">
        <v>52</v>
      </c>
      <c r="V40" s="69" t="s">
        <v>177</v>
      </c>
      <c r="W40" s="62">
        <f>SUM(LARGE(T40:V40,{1,2}))</f>
        <v>112</v>
      </c>
      <c r="X40" s="62">
        <f t="shared" si="6"/>
        <v>11.2</v>
      </c>
      <c r="Y40" s="66">
        <f t="shared" si="7"/>
        <v>12</v>
      </c>
      <c r="Z40" s="67">
        <f t="shared" si="8"/>
        <v>29</v>
      </c>
    </row>
    <row r="41" spans="1:26" ht="24.95" customHeight="1">
      <c r="A41" s="30">
        <v>29</v>
      </c>
      <c r="B41" s="30" t="s">
        <v>133</v>
      </c>
      <c r="C41" s="31" t="s">
        <v>134</v>
      </c>
      <c r="D41" s="68">
        <v>5</v>
      </c>
      <c r="E41" s="69">
        <v>5</v>
      </c>
      <c r="F41" s="69">
        <v>5</v>
      </c>
      <c r="G41" s="62">
        <f>SUM(LARGE(D41:F41,{1,2}))</f>
        <v>10</v>
      </c>
      <c r="H41" s="62">
        <f t="shared" si="0"/>
        <v>5</v>
      </c>
      <c r="I41" s="63">
        <f t="shared" si="1"/>
        <v>5</v>
      </c>
      <c r="J41" s="68">
        <v>24</v>
      </c>
      <c r="K41" s="68">
        <v>24</v>
      </c>
      <c r="L41" s="70">
        <v>24</v>
      </c>
      <c r="M41" s="62">
        <f>SUM(LARGE(J41:L41,{1,2}))</f>
        <v>48</v>
      </c>
      <c r="N41" s="62">
        <f t="shared" si="2"/>
        <v>4.8</v>
      </c>
      <c r="O41" s="63">
        <f t="shared" si="3"/>
        <v>5</v>
      </c>
      <c r="P41" s="63">
        <v>5</v>
      </c>
      <c r="Q41" s="68">
        <v>84</v>
      </c>
      <c r="R41" s="64">
        <f t="shared" si="4"/>
        <v>2</v>
      </c>
      <c r="S41" s="65">
        <f t="shared" si="5"/>
        <v>17</v>
      </c>
      <c r="T41" s="71">
        <v>68</v>
      </c>
      <c r="U41" s="73" t="s">
        <v>177</v>
      </c>
      <c r="V41" s="69">
        <v>45</v>
      </c>
      <c r="W41" s="62">
        <f>SUM(LARGE(T41:V41,{1,2}))</f>
        <v>113</v>
      </c>
      <c r="X41" s="62">
        <f t="shared" si="6"/>
        <v>11.3</v>
      </c>
      <c r="Y41" s="66">
        <f t="shared" si="7"/>
        <v>12</v>
      </c>
      <c r="Z41" s="67">
        <f t="shared" si="8"/>
        <v>29</v>
      </c>
    </row>
    <row r="42" spans="1:26" ht="24.95" customHeight="1">
      <c r="A42" s="30">
        <v>30</v>
      </c>
      <c r="B42" s="30" t="s">
        <v>135</v>
      </c>
      <c r="C42" s="31" t="s">
        <v>136</v>
      </c>
      <c r="D42" s="68">
        <v>5</v>
      </c>
      <c r="E42" s="69">
        <v>5</v>
      </c>
      <c r="F42" s="69">
        <v>5</v>
      </c>
      <c r="G42" s="62">
        <f>SUM(LARGE(D42:F42,{1,2}))</f>
        <v>10</v>
      </c>
      <c r="H42" s="62">
        <f t="shared" si="0"/>
        <v>5</v>
      </c>
      <c r="I42" s="63">
        <f t="shared" si="1"/>
        <v>5</v>
      </c>
      <c r="J42" s="68">
        <v>24</v>
      </c>
      <c r="K42" s="68">
        <v>23</v>
      </c>
      <c r="L42" s="70">
        <v>24</v>
      </c>
      <c r="M42" s="62">
        <f>SUM(LARGE(J42:L42,{1,2}))</f>
        <v>48</v>
      </c>
      <c r="N42" s="62">
        <f t="shared" si="2"/>
        <v>4.8</v>
      </c>
      <c r="O42" s="63">
        <f t="shared" si="3"/>
        <v>5</v>
      </c>
      <c r="P42" s="63">
        <v>5</v>
      </c>
      <c r="Q42" s="68">
        <v>96</v>
      </c>
      <c r="R42" s="64">
        <f t="shared" si="4"/>
        <v>5</v>
      </c>
      <c r="S42" s="65">
        <f t="shared" si="5"/>
        <v>20</v>
      </c>
      <c r="T42" s="71">
        <v>68</v>
      </c>
      <c r="U42" s="68">
        <v>86</v>
      </c>
      <c r="V42" s="69">
        <v>90</v>
      </c>
      <c r="W42" s="62">
        <f>SUM(LARGE(T42:V42,{1,2}))</f>
        <v>176</v>
      </c>
      <c r="X42" s="62">
        <f t="shared" si="6"/>
        <v>17.600000000000001</v>
      </c>
      <c r="Y42" s="66">
        <f t="shared" si="7"/>
        <v>18</v>
      </c>
      <c r="Z42" s="67">
        <f t="shared" si="8"/>
        <v>38</v>
      </c>
    </row>
    <row r="43" spans="1:26" ht="24.95" customHeight="1">
      <c r="A43" s="30">
        <v>31</v>
      </c>
      <c r="B43" s="30" t="s">
        <v>137</v>
      </c>
      <c r="C43" s="31" t="s">
        <v>138</v>
      </c>
      <c r="D43" s="68">
        <v>5</v>
      </c>
      <c r="E43" s="69">
        <v>5</v>
      </c>
      <c r="F43" s="69">
        <v>5</v>
      </c>
      <c r="G43" s="62">
        <f>SUM(LARGE(D43:F43,{1,2}))</f>
        <v>10</v>
      </c>
      <c r="H43" s="62">
        <f t="shared" si="0"/>
        <v>5</v>
      </c>
      <c r="I43" s="63">
        <f t="shared" si="1"/>
        <v>5</v>
      </c>
      <c r="J43" s="68">
        <v>24</v>
      </c>
      <c r="K43" s="68">
        <v>23</v>
      </c>
      <c r="L43" s="70">
        <v>24</v>
      </c>
      <c r="M43" s="62">
        <f>SUM(LARGE(J43:L43,{1,2}))</f>
        <v>48</v>
      </c>
      <c r="N43" s="62">
        <f t="shared" si="2"/>
        <v>4.8</v>
      </c>
      <c r="O43" s="63">
        <f t="shared" si="3"/>
        <v>5</v>
      </c>
      <c r="P43" s="63">
        <v>5</v>
      </c>
      <c r="Q43" s="68">
        <v>87</v>
      </c>
      <c r="R43" s="64">
        <f t="shared" si="4"/>
        <v>3</v>
      </c>
      <c r="S43" s="65">
        <f t="shared" si="5"/>
        <v>18</v>
      </c>
      <c r="T43" s="71">
        <v>80</v>
      </c>
      <c r="U43" s="68">
        <v>80</v>
      </c>
      <c r="V43" s="69" t="s">
        <v>177</v>
      </c>
      <c r="W43" s="62">
        <f>SUM(LARGE(T43:V43,{1,2}))</f>
        <v>160</v>
      </c>
      <c r="X43" s="62">
        <f t="shared" si="6"/>
        <v>16</v>
      </c>
      <c r="Y43" s="66">
        <f t="shared" si="7"/>
        <v>16</v>
      </c>
      <c r="Z43" s="67">
        <f t="shared" si="8"/>
        <v>34</v>
      </c>
    </row>
    <row r="44" spans="1:26" ht="24.95" customHeight="1">
      <c r="A44" s="30">
        <v>32</v>
      </c>
      <c r="B44" s="30" t="s">
        <v>139</v>
      </c>
      <c r="C44" s="31" t="s">
        <v>140</v>
      </c>
      <c r="D44" s="68">
        <v>5</v>
      </c>
      <c r="E44" s="69">
        <v>5</v>
      </c>
      <c r="F44" s="69">
        <v>5</v>
      </c>
      <c r="G44" s="62">
        <f>SUM(LARGE(D44:F44,{1,2}))</f>
        <v>10</v>
      </c>
      <c r="H44" s="62">
        <f t="shared" si="0"/>
        <v>5</v>
      </c>
      <c r="I44" s="63">
        <f t="shared" si="1"/>
        <v>5</v>
      </c>
      <c r="J44" s="68">
        <v>25</v>
      </c>
      <c r="K44" s="68">
        <v>24</v>
      </c>
      <c r="L44" s="70">
        <v>24</v>
      </c>
      <c r="M44" s="62">
        <f>SUM(LARGE(J44:L44,{1,2}))</f>
        <v>49</v>
      </c>
      <c r="N44" s="62">
        <f t="shared" si="2"/>
        <v>4.9000000000000004</v>
      </c>
      <c r="O44" s="63">
        <f t="shared" si="3"/>
        <v>5</v>
      </c>
      <c r="P44" s="63">
        <v>5</v>
      </c>
      <c r="Q44" s="68">
        <v>93</v>
      </c>
      <c r="R44" s="64">
        <f t="shared" si="4"/>
        <v>4</v>
      </c>
      <c r="S44" s="65">
        <f t="shared" si="5"/>
        <v>19</v>
      </c>
      <c r="T44" s="71">
        <v>84</v>
      </c>
      <c r="U44" s="68">
        <v>98</v>
      </c>
      <c r="V44" s="69">
        <v>90</v>
      </c>
      <c r="W44" s="62">
        <f>SUM(LARGE(T44:V44,{1,2}))</f>
        <v>188</v>
      </c>
      <c r="X44" s="62">
        <f t="shared" si="6"/>
        <v>18.8</v>
      </c>
      <c r="Y44" s="66">
        <f t="shared" si="7"/>
        <v>19</v>
      </c>
      <c r="Z44" s="67">
        <f t="shared" si="8"/>
        <v>38</v>
      </c>
    </row>
    <row r="45" spans="1:26" ht="24.95" customHeight="1">
      <c r="A45" s="30">
        <v>33</v>
      </c>
      <c r="B45" s="30" t="s">
        <v>141</v>
      </c>
      <c r="C45" s="35" t="s">
        <v>142</v>
      </c>
      <c r="D45" s="68">
        <v>5</v>
      </c>
      <c r="E45" s="69">
        <v>5</v>
      </c>
      <c r="F45" s="69">
        <v>5</v>
      </c>
      <c r="G45" s="62">
        <f>SUM(LARGE(D45:F45,{1,2}))</f>
        <v>10</v>
      </c>
      <c r="H45" s="62">
        <f t="shared" si="0"/>
        <v>5</v>
      </c>
      <c r="I45" s="63">
        <f t="shared" si="1"/>
        <v>5</v>
      </c>
      <c r="J45" s="68">
        <v>25</v>
      </c>
      <c r="K45" s="68">
        <v>24</v>
      </c>
      <c r="L45" s="70">
        <v>24</v>
      </c>
      <c r="M45" s="62">
        <f>SUM(LARGE(J45:L45,{1,2}))</f>
        <v>49</v>
      </c>
      <c r="N45" s="62">
        <f t="shared" si="2"/>
        <v>4.9000000000000004</v>
      </c>
      <c r="O45" s="63">
        <f t="shared" si="3"/>
        <v>5</v>
      </c>
      <c r="P45" s="63">
        <v>5</v>
      </c>
      <c r="Q45" s="68">
        <v>88</v>
      </c>
      <c r="R45" s="64">
        <f t="shared" si="4"/>
        <v>3</v>
      </c>
      <c r="S45" s="65">
        <f t="shared" si="5"/>
        <v>18</v>
      </c>
      <c r="T45" s="71">
        <v>60</v>
      </c>
      <c r="U45" s="68">
        <v>60</v>
      </c>
      <c r="V45" s="69">
        <v>40</v>
      </c>
      <c r="W45" s="62">
        <f>SUM(LARGE(T45:V45,{1,2}))</f>
        <v>120</v>
      </c>
      <c r="X45" s="62">
        <f t="shared" si="6"/>
        <v>12</v>
      </c>
      <c r="Y45" s="66">
        <f t="shared" si="7"/>
        <v>12</v>
      </c>
      <c r="Z45" s="67">
        <f t="shared" si="8"/>
        <v>30</v>
      </c>
    </row>
    <row r="46" spans="1:26" ht="24.95" customHeight="1">
      <c r="A46" s="30">
        <v>34</v>
      </c>
      <c r="B46" s="30" t="s">
        <v>143</v>
      </c>
      <c r="C46" s="31" t="s">
        <v>144</v>
      </c>
      <c r="D46" s="68">
        <v>5</v>
      </c>
      <c r="E46" s="69">
        <v>5</v>
      </c>
      <c r="F46" s="69">
        <v>5</v>
      </c>
      <c r="G46" s="62">
        <f>SUM(LARGE(D46:F46,{1,2}))</f>
        <v>10</v>
      </c>
      <c r="H46" s="62">
        <f t="shared" si="0"/>
        <v>5</v>
      </c>
      <c r="I46" s="63">
        <f t="shared" si="1"/>
        <v>5</v>
      </c>
      <c r="J46" s="68">
        <v>23</v>
      </c>
      <c r="K46" s="68">
        <v>24</v>
      </c>
      <c r="L46" s="70">
        <v>23</v>
      </c>
      <c r="M46" s="62">
        <f>SUM(LARGE(J46:L46,{1,2}))</f>
        <v>47</v>
      </c>
      <c r="N46" s="62">
        <f t="shared" si="2"/>
        <v>4.7</v>
      </c>
      <c r="O46" s="63">
        <f t="shared" si="3"/>
        <v>5</v>
      </c>
      <c r="P46" s="63">
        <v>5</v>
      </c>
      <c r="Q46" s="68">
        <v>92</v>
      </c>
      <c r="R46" s="64">
        <f t="shared" si="4"/>
        <v>4</v>
      </c>
      <c r="S46" s="65">
        <f t="shared" si="5"/>
        <v>19</v>
      </c>
      <c r="T46" s="71">
        <v>70</v>
      </c>
      <c r="U46" s="68">
        <v>96</v>
      </c>
      <c r="V46" s="69">
        <v>90</v>
      </c>
      <c r="W46" s="62">
        <f>SUM(LARGE(T46:V46,{1,2}))</f>
        <v>186</v>
      </c>
      <c r="X46" s="62">
        <f t="shared" si="6"/>
        <v>18.600000000000001</v>
      </c>
      <c r="Y46" s="66">
        <f t="shared" si="7"/>
        <v>19</v>
      </c>
      <c r="Z46" s="67">
        <f t="shared" si="8"/>
        <v>38</v>
      </c>
    </row>
    <row r="47" spans="1:26" ht="24.95" customHeight="1">
      <c r="A47" s="30">
        <v>35</v>
      </c>
      <c r="B47" s="30" t="s">
        <v>145</v>
      </c>
      <c r="C47" s="31" t="s">
        <v>146</v>
      </c>
      <c r="D47" s="68">
        <v>5</v>
      </c>
      <c r="E47" s="69">
        <v>5</v>
      </c>
      <c r="F47" s="69">
        <v>5</v>
      </c>
      <c r="G47" s="62">
        <f>SUM(LARGE(D47:F47,{1,2}))</f>
        <v>10</v>
      </c>
      <c r="H47" s="62">
        <f t="shared" si="0"/>
        <v>5</v>
      </c>
      <c r="I47" s="63">
        <f t="shared" si="1"/>
        <v>5</v>
      </c>
      <c r="J47" s="68">
        <v>25</v>
      </c>
      <c r="K47" s="68">
        <v>24</v>
      </c>
      <c r="L47" s="70">
        <v>24</v>
      </c>
      <c r="M47" s="62">
        <f>SUM(LARGE(J47:L47,{1,2}))</f>
        <v>49</v>
      </c>
      <c r="N47" s="62">
        <f t="shared" si="2"/>
        <v>4.9000000000000004</v>
      </c>
      <c r="O47" s="63">
        <f t="shared" si="3"/>
        <v>5</v>
      </c>
      <c r="P47" s="63">
        <v>5</v>
      </c>
      <c r="Q47" s="68">
        <v>99</v>
      </c>
      <c r="R47" s="64">
        <f t="shared" si="4"/>
        <v>5</v>
      </c>
      <c r="S47" s="65">
        <f t="shared" si="5"/>
        <v>20</v>
      </c>
      <c r="T47" s="71">
        <v>56.000000000000007</v>
      </c>
      <c r="U47" s="68">
        <v>66</v>
      </c>
      <c r="V47" s="69">
        <v>40</v>
      </c>
      <c r="W47" s="62">
        <f>SUM(LARGE(T47:V47,{1,2}))</f>
        <v>122</v>
      </c>
      <c r="X47" s="62">
        <f t="shared" si="6"/>
        <v>12.2</v>
      </c>
      <c r="Y47" s="66">
        <f t="shared" si="7"/>
        <v>13</v>
      </c>
      <c r="Z47" s="67">
        <f t="shared" si="8"/>
        <v>33</v>
      </c>
    </row>
    <row r="48" spans="1:26" ht="24.95" customHeight="1">
      <c r="A48" s="30">
        <v>36</v>
      </c>
      <c r="B48" s="30" t="s">
        <v>147</v>
      </c>
      <c r="C48" s="31" t="s">
        <v>148</v>
      </c>
      <c r="D48" s="68">
        <v>5</v>
      </c>
      <c r="E48" s="69">
        <v>5</v>
      </c>
      <c r="F48" s="69">
        <v>5</v>
      </c>
      <c r="G48" s="62">
        <f>SUM(LARGE(D48:F48,{1,2}))</f>
        <v>10</v>
      </c>
      <c r="H48" s="62">
        <f t="shared" si="0"/>
        <v>5</v>
      </c>
      <c r="I48" s="63">
        <f t="shared" si="1"/>
        <v>5</v>
      </c>
      <c r="J48" s="68">
        <v>25</v>
      </c>
      <c r="K48" s="68">
        <v>23</v>
      </c>
      <c r="L48" s="70">
        <v>24</v>
      </c>
      <c r="M48" s="62">
        <f>SUM(LARGE(J48:L48,{1,2}))</f>
        <v>49</v>
      </c>
      <c r="N48" s="62">
        <f t="shared" si="2"/>
        <v>4.9000000000000004</v>
      </c>
      <c r="O48" s="63">
        <f t="shared" si="3"/>
        <v>5</v>
      </c>
      <c r="P48" s="63">
        <v>5</v>
      </c>
      <c r="Q48" s="68">
        <v>80</v>
      </c>
      <c r="R48" s="64">
        <f t="shared" si="4"/>
        <v>2</v>
      </c>
      <c r="S48" s="65">
        <f t="shared" si="5"/>
        <v>17</v>
      </c>
      <c r="T48" s="71">
        <v>40</v>
      </c>
      <c r="U48" s="68">
        <v>56.000000000000007</v>
      </c>
      <c r="V48" s="69">
        <v>3</v>
      </c>
      <c r="W48" s="62">
        <f>SUM(LARGE(T48:V48,{1,2}))</f>
        <v>96</v>
      </c>
      <c r="X48" s="62">
        <f t="shared" si="6"/>
        <v>9.6</v>
      </c>
      <c r="Y48" s="66">
        <f t="shared" si="7"/>
        <v>10</v>
      </c>
      <c r="Z48" s="67">
        <f t="shared" si="8"/>
        <v>27</v>
      </c>
    </row>
    <row r="49" spans="1:26" ht="24.95" customHeight="1">
      <c r="A49" s="30">
        <v>37</v>
      </c>
      <c r="B49" s="30" t="s">
        <v>149</v>
      </c>
      <c r="C49" s="31" t="s">
        <v>150</v>
      </c>
      <c r="D49" s="68">
        <v>5</v>
      </c>
      <c r="E49" s="69">
        <v>5</v>
      </c>
      <c r="F49" s="69">
        <v>5</v>
      </c>
      <c r="G49" s="62">
        <f>SUM(LARGE(D49:F49,{1,2}))</f>
        <v>10</v>
      </c>
      <c r="H49" s="62">
        <f t="shared" si="0"/>
        <v>5</v>
      </c>
      <c r="I49" s="63">
        <f t="shared" si="1"/>
        <v>5</v>
      </c>
      <c r="J49" s="68">
        <v>24</v>
      </c>
      <c r="K49" s="68">
        <v>24</v>
      </c>
      <c r="L49" s="70">
        <v>22</v>
      </c>
      <c r="M49" s="62">
        <f>SUM(LARGE(J49:L49,{1,2}))</f>
        <v>48</v>
      </c>
      <c r="N49" s="62">
        <f t="shared" si="2"/>
        <v>4.8</v>
      </c>
      <c r="O49" s="63">
        <f t="shared" si="3"/>
        <v>5</v>
      </c>
      <c r="P49" s="63">
        <v>5</v>
      </c>
      <c r="Q49" s="68">
        <v>94</v>
      </c>
      <c r="R49" s="64">
        <f t="shared" si="4"/>
        <v>4</v>
      </c>
      <c r="S49" s="65">
        <f t="shared" si="5"/>
        <v>19</v>
      </c>
      <c r="T49" s="71">
        <v>46</v>
      </c>
      <c r="U49" s="68">
        <v>80</v>
      </c>
      <c r="V49" s="69">
        <v>88</v>
      </c>
      <c r="W49" s="62">
        <f>SUM(LARGE(T49:V49,{1,2}))</f>
        <v>168</v>
      </c>
      <c r="X49" s="62">
        <f t="shared" si="6"/>
        <v>16.8</v>
      </c>
      <c r="Y49" s="66">
        <f t="shared" si="7"/>
        <v>17</v>
      </c>
      <c r="Z49" s="67">
        <f t="shared" si="8"/>
        <v>36</v>
      </c>
    </row>
    <row r="50" spans="1:26" ht="24.95" customHeight="1">
      <c r="A50" s="30">
        <v>38</v>
      </c>
      <c r="B50" s="30" t="s">
        <v>151</v>
      </c>
      <c r="C50" s="31" t="s">
        <v>152</v>
      </c>
      <c r="D50" s="68">
        <v>5</v>
      </c>
      <c r="E50" s="69">
        <v>5</v>
      </c>
      <c r="F50" s="69">
        <v>4</v>
      </c>
      <c r="G50" s="62">
        <f>SUM(LARGE(D50:F50,{1,2}))</f>
        <v>10</v>
      </c>
      <c r="H50" s="62">
        <f t="shared" si="0"/>
        <v>5</v>
      </c>
      <c r="I50" s="63">
        <f t="shared" si="1"/>
        <v>5</v>
      </c>
      <c r="J50" s="68">
        <v>23</v>
      </c>
      <c r="K50" s="68">
        <v>23</v>
      </c>
      <c r="L50" s="70">
        <v>20</v>
      </c>
      <c r="M50" s="62">
        <f>SUM(LARGE(J50:L50,{1,2}))</f>
        <v>46</v>
      </c>
      <c r="N50" s="62">
        <f t="shared" si="2"/>
        <v>4.5999999999999996</v>
      </c>
      <c r="O50" s="63">
        <f t="shared" si="3"/>
        <v>5</v>
      </c>
      <c r="P50" s="63">
        <v>5</v>
      </c>
      <c r="Q50" s="68">
        <v>87</v>
      </c>
      <c r="R50" s="64">
        <f t="shared" si="4"/>
        <v>3</v>
      </c>
      <c r="S50" s="65">
        <f t="shared" si="5"/>
        <v>18</v>
      </c>
      <c r="T50" s="71">
        <v>72</v>
      </c>
      <c r="U50" s="68">
        <v>68</v>
      </c>
      <c r="V50" s="69">
        <v>50</v>
      </c>
      <c r="W50" s="62">
        <f>SUM(LARGE(T50:V50,{1,2}))</f>
        <v>140</v>
      </c>
      <c r="X50" s="62">
        <f t="shared" si="6"/>
        <v>14</v>
      </c>
      <c r="Y50" s="66">
        <f t="shared" si="7"/>
        <v>14</v>
      </c>
      <c r="Z50" s="67">
        <f t="shared" si="8"/>
        <v>32</v>
      </c>
    </row>
    <row r="51" spans="1:26" ht="24.95" customHeight="1">
      <c r="A51" s="30">
        <v>39</v>
      </c>
      <c r="B51" s="30" t="s">
        <v>153</v>
      </c>
      <c r="C51" s="31" t="s">
        <v>154</v>
      </c>
      <c r="D51" s="68">
        <v>5</v>
      </c>
      <c r="E51" s="69">
        <v>5</v>
      </c>
      <c r="F51" s="69">
        <v>5</v>
      </c>
      <c r="G51" s="62">
        <f>SUM(LARGE(D51:F51,{1,2}))</f>
        <v>10</v>
      </c>
      <c r="H51" s="62">
        <f t="shared" si="0"/>
        <v>5</v>
      </c>
      <c r="I51" s="63">
        <f t="shared" si="1"/>
        <v>5</v>
      </c>
      <c r="J51" s="68">
        <v>25</v>
      </c>
      <c r="K51" s="68">
        <v>23</v>
      </c>
      <c r="L51" s="70" t="s">
        <v>177</v>
      </c>
      <c r="M51" s="62">
        <f>SUM(LARGE(J51:L51,{1,2}))</f>
        <v>48</v>
      </c>
      <c r="N51" s="62">
        <f t="shared" si="2"/>
        <v>4.8</v>
      </c>
      <c r="O51" s="63">
        <f t="shared" si="3"/>
        <v>5</v>
      </c>
      <c r="P51" s="63">
        <v>5</v>
      </c>
      <c r="Q51" s="68">
        <v>81</v>
      </c>
      <c r="R51" s="64">
        <f t="shared" si="4"/>
        <v>2</v>
      </c>
      <c r="S51" s="65">
        <f t="shared" si="5"/>
        <v>17</v>
      </c>
      <c r="T51" s="71">
        <v>42</v>
      </c>
      <c r="U51" s="68">
        <v>40</v>
      </c>
      <c r="V51" s="69">
        <v>50</v>
      </c>
      <c r="W51" s="62">
        <f>SUM(LARGE(T51:V51,{1,2}))</f>
        <v>92</v>
      </c>
      <c r="X51" s="62">
        <f t="shared" si="6"/>
        <v>9.1999999999999993</v>
      </c>
      <c r="Y51" s="66">
        <f t="shared" si="7"/>
        <v>10</v>
      </c>
      <c r="Z51" s="67">
        <f t="shared" si="8"/>
        <v>27</v>
      </c>
    </row>
    <row r="52" spans="1:26" ht="24.95" customHeight="1">
      <c r="A52" s="30">
        <v>40</v>
      </c>
      <c r="B52" s="30" t="s">
        <v>155</v>
      </c>
      <c r="C52" s="31" t="s">
        <v>156</v>
      </c>
      <c r="D52" s="68">
        <v>5</v>
      </c>
      <c r="E52" s="69">
        <v>5</v>
      </c>
      <c r="F52" s="69">
        <v>5</v>
      </c>
      <c r="G52" s="62">
        <f>SUM(LARGE(D52:F52,{1,2}))</f>
        <v>10</v>
      </c>
      <c r="H52" s="62">
        <f t="shared" si="0"/>
        <v>5</v>
      </c>
      <c r="I52" s="63">
        <f t="shared" si="1"/>
        <v>5</v>
      </c>
      <c r="J52" s="68">
        <v>25</v>
      </c>
      <c r="K52" s="68">
        <v>22</v>
      </c>
      <c r="L52" s="70">
        <v>24</v>
      </c>
      <c r="M52" s="62">
        <f>SUM(LARGE(J52:L52,{1,2}))</f>
        <v>49</v>
      </c>
      <c r="N52" s="62">
        <f t="shared" si="2"/>
        <v>4.9000000000000004</v>
      </c>
      <c r="O52" s="63">
        <f t="shared" si="3"/>
        <v>5</v>
      </c>
      <c r="P52" s="63">
        <v>5</v>
      </c>
      <c r="Q52" s="68">
        <v>88</v>
      </c>
      <c r="R52" s="64">
        <f t="shared" si="4"/>
        <v>3</v>
      </c>
      <c r="S52" s="65">
        <f t="shared" si="5"/>
        <v>18</v>
      </c>
      <c r="T52" s="71">
        <v>88</v>
      </c>
      <c r="U52" s="68">
        <v>88</v>
      </c>
      <c r="V52" s="69" t="s">
        <v>177</v>
      </c>
      <c r="W52" s="62">
        <f>SUM(LARGE(T52:V52,{1,2}))</f>
        <v>176</v>
      </c>
      <c r="X52" s="62">
        <f t="shared" si="6"/>
        <v>17.600000000000001</v>
      </c>
      <c r="Y52" s="66">
        <f t="shared" si="7"/>
        <v>18</v>
      </c>
      <c r="Z52" s="67">
        <f t="shared" si="8"/>
        <v>36</v>
      </c>
    </row>
    <row r="53" spans="1:26" ht="24.95" customHeight="1">
      <c r="A53" s="30">
        <v>41</v>
      </c>
      <c r="B53" s="30" t="s">
        <v>157</v>
      </c>
      <c r="C53" s="31" t="s">
        <v>158</v>
      </c>
      <c r="D53" s="68">
        <v>5</v>
      </c>
      <c r="E53" s="69">
        <v>5</v>
      </c>
      <c r="F53" s="69">
        <v>5</v>
      </c>
      <c r="G53" s="62">
        <f>SUM(LARGE(D53:F53,{1,2}))</f>
        <v>10</v>
      </c>
      <c r="H53" s="62">
        <f t="shared" si="0"/>
        <v>5</v>
      </c>
      <c r="I53" s="63">
        <f t="shared" si="1"/>
        <v>5</v>
      </c>
      <c r="J53" s="68">
        <v>25</v>
      </c>
      <c r="K53" s="68">
        <v>24</v>
      </c>
      <c r="L53" s="70">
        <v>24</v>
      </c>
      <c r="M53" s="62">
        <f>SUM(LARGE(J53:L53,{1,2}))</f>
        <v>49</v>
      </c>
      <c r="N53" s="62">
        <f t="shared" si="2"/>
        <v>4.9000000000000004</v>
      </c>
      <c r="O53" s="63">
        <f t="shared" si="3"/>
        <v>5</v>
      </c>
      <c r="P53" s="63">
        <v>5</v>
      </c>
      <c r="Q53" s="68">
        <v>98</v>
      </c>
      <c r="R53" s="64">
        <f t="shared" si="4"/>
        <v>5</v>
      </c>
      <c r="S53" s="65">
        <f t="shared" si="5"/>
        <v>20</v>
      </c>
      <c r="T53" s="71">
        <v>18</v>
      </c>
      <c r="U53" s="68">
        <v>70</v>
      </c>
      <c r="V53" s="69">
        <v>25</v>
      </c>
      <c r="W53" s="62">
        <f>SUM(LARGE(T53:V53,{1,2}))</f>
        <v>95</v>
      </c>
      <c r="X53" s="62">
        <f t="shared" si="6"/>
        <v>9.5</v>
      </c>
      <c r="Y53" s="66">
        <f t="shared" si="7"/>
        <v>10</v>
      </c>
      <c r="Z53" s="67">
        <f t="shared" si="8"/>
        <v>30</v>
      </c>
    </row>
    <row r="54" spans="1:26" ht="24.95" customHeight="1">
      <c r="A54" s="30">
        <v>42</v>
      </c>
      <c r="B54" s="30" t="s">
        <v>159</v>
      </c>
      <c r="C54" s="31" t="s">
        <v>160</v>
      </c>
      <c r="D54" s="68">
        <v>5</v>
      </c>
      <c r="E54" s="69">
        <v>5</v>
      </c>
      <c r="F54" s="69">
        <v>5</v>
      </c>
      <c r="G54" s="62">
        <f>SUM(LARGE(D54:F54,{1,2}))</f>
        <v>10</v>
      </c>
      <c r="H54" s="62">
        <f t="shared" si="0"/>
        <v>5</v>
      </c>
      <c r="I54" s="63">
        <f t="shared" si="1"/>
        <v>5</v>
      </c>
      <c r="J54" s="68">
        <v>20</v>
      </c>
      <c r="K54" s="68">
        <v>24</v>
      </c>
      <c r="L54" s="70">
        <v>22</v>
      </c>
      <c r="M54" s="62">
        <f>SUM(LARGE(J54:L54,{1,2}))</f>
        <v>46</v>
      </c>
      <c r="N54" s="62">
        <f t="shared" si="2"/>
        <v>4.5999999999999996</v>
      </c>
      <c r="O54" s="63">
        <f t="shared" si="3"/>
        <v>5</v>
      </c>
      <c r="P54" s="63">
        <v>5</v>
      </c>
      <c r="Q54" s="74">
        <v>76</v>
      </c>
      <c r="R54" s="64">
        <f t="shared" si="4"/>
        <v>1</v>
      </c>
      <c r="S54" s="65">
        <f t="shared" si="5"/>
        <v>16</v>
      </c>
      <c r="T54" s="71">
        <v>16</v>
      </c>
      <c r="U54" s="73" t="s">
        <v>177</v>
      </c>
      <c r="V54" s="69">
        <v>55</v>
      </c>
      <c r="W54" s="62">
        <f>SUM(LARGE(T54:V54,{1,2}))</f>
        <v>71</v>
      </c>
      <c r="X54" s="62">
        <f t="shared" si="6"/>
        <v>7.1</v>
      </c>
      <c r="Y54" s="66">
        <f t="shared" si="7"/>
        <v>8</v>
      </c>
      <c r="Z54" s="67">
        <f t="shared" si="8"/>
        <v>24</v>
      </c>
    </row>
    <row r="55" spans="1:26" ht="24.95" customHeight="1">
      <c r="A55" s="30">
        <v>43</v>
      </c>
      <c r="B55" s="30" t="s">
        <v>161</v>
      </c>
      <c r="C55" s="31" t="s">
        <v>162</v>
      </c>
      <c r="D55" s="68">
        <v>5</v>
      </c>
      <c r="E55" s="69">
        <v>5</v>
      </c>
      <c r="F55" s="69">
        <v>5</v>
      </c>
      <c r="G55" s="62">
        <f>SUM(LARGE(D55:F55,{1,2}))</f>
        <v>10</v>
      </c>
      <c r="H55" s="62">
        <f t="shared" si="0"/>
        <v>5</v>
      </c>
      <c r="I55" s="63">
        <f t="shared" si="1"/>
        <v>5</v>
      </c>
      <c r="J55" s="68">
        <v>25</v>
      </c>
      <c r="K55" s="68">
        <v>24</v>
      </c>
      <c r="L55" s="70">
        <v>23</v>
      </c>
      <c r="M55" s="62">
        <f>SUM(LARGE(J55:L55,{1,2}))</f>
        <v>49</v>
      </c>
      <c r="N55" s="62">
        <f t="shared" si="2"/>
        <v>4.9000000000000004</v>
      </c>
      <c r="O55" s="63">
        <f t="shared" si="3"/>
        <v>5</v>
      </c>
      <c r="P55" s="63">
        <v>5</v>
      </c>
      <c r="Q55" s="68">
        <v>88</v>
      </c>
      <c r="R55" s="64">
        <f t="shared" si="4"/>
        <v>3</v>
      </c>
      <c r="S55" s="65">
        <f t="shared" si="5"/>
        <v>18</v>
      </c>
      <c r="T55" s="71">
        <v>24</v>
      </c>
      <c r="U55" s="68">
        <v>46</v>
      </c>
      <c r="V55" s="69">
        <v>53</v>
      </c>
      <c r="W55" s="62">
        <f>SUM(LARGE(T55:V55,{1,2}))</f>
        <v>99</v>
      </c>
      <c r="X55" s="62">
        <f t="shared" si="6"/>
        <v>9.9</v>
      </c>
      <c r="Y55" s="66">
        <f t="shared" si="7"/>
        <v>10</v>
      </c>
      <c r="Z55" s="67">
        <f t="shared" si="8"/>
        <v>28</v>
      </c>
    </row>
    <row r="56" spans="1:26" ht="24.95" customHeight="1">
      <c r="A56" s="30">
        <v>44</v>
      </c>
      <c r="B56" s="30" t="s">
        <v>163</v>
      </c>
      <c r="C56" s="31" t="s">
        <v>164</v>
      </c>
      <c r="D56" s="68">
        <v>5</v>
      </c>
      <c r="E56" s="69">
        <v>5</v>
      </c>
      <c r="F56" s="69">
        <v>4</v>
      </c>
      <c r="G56" s="62">
        <f>SUM(LARGE(D56:F56,{1,2}))</f>
        <v>10</v>
      </c>
      <c r="H56" s="62">
        <f t="shared" si="0"/>
        <v>5</v>
      </c>
      <c r="I56" s="63">
        <f t="shared" si="1"/>
        <v>5</v>
      </c>
      <c r="J56" s="68">
        <v>25</v>
      </c>
      <c r="K56" s="68">
        <v>24</v>
      </c>
      <c r="L56" s="70" t="s">
        <v>177</v>
      </c>
      <c r="M56" s="62">
        <f>SUM(LARGE(J56:L56,{1,2}))</f>
        <v>49</v>
      </c>
      <c r="N56" s="62">
        <f t="shared" si="2"/>
        <v>4.9000000000000004</v>
      </c>
      <c r="O56" s="63">
        <f t="shared" si="3"/>
        <v>5</v>
      </c>
      <c r="P56" s="63">
        <v>5</v>
      </c>
      <c r="Q56" s="68">
        <v>87</v>
      </c>
      <c r="R56" s="64">
        <f t="shared" si="4"/>
        <v>3</v>
      </c>
      <c r="S56" s="65">
        <f t="shared" si="5"/>
        <v>18</v>
      </c>
      <c r="T56" s="71">
        <v>8</v>
      </c>
      <c r="U56" s="68">
        <v>44</v>
      </c>
      <c r="V56" s="69" t="s">
        <v>177</v>
      </c>
      <c r="W56" s="62">
        <f>SUM(LARGE(T56:V56,{1,2}))</f>
        <v>52</v>
      </c>
      <c r="X56" s="62">
        <f t="shared" si="6"/>
        <v>5.2</v>
      </c>
      <c r="Y56" s="66">
        <f t="shared" si="7"/>
        <v>6</v>
      </c>
      <c r="Z56" s="67">
        <f t="shared" si="8"/>
        <v>24</v>
      </c>
    </row>
    <row r="57" spans="1:26" ht="24.95" customHeight="1">
      <c r="A57" s="30">
        <v>45</v>
      </c>
      <c r="B57" s="30" t="s">
        <v>165</v>
      </c>
      <c r="C57" s="31" t="s">
        <v>166</v>
      </c>
      <c r="D57" s="68">
        <v>5</v>
      </c>
      <c r="E57" s="69">
        <v>5</v>
      </c>
      <c r="F57" s="69">
        <v>5</v>
      </c>
      <c r="G57" s="62">
        <f>SUM(LARGE(D57:F57,{1,2}))</f>
        <v>10</v>
      </c>
      <c r="H57" s="62">
        <f t="shared" si="0"/>
        <v>5</v>
      </c>
      <c r="I57" s="63">
        <f t="shared" si="1"/>
        <v>5</v>
      </c>
      <c r="J57" s="68">
        <v>25</v>
      </c>
      <c r="K57" s="68">
        <v>24</v>
      </c>
      <c r="L57" s="70">
        <v>20</v>
      </c>
      <c r="M57" s="62">
        <f>SUM(LARGE(J57:L57,{1,2}))</f>
        <v>49</v>
      </c>
      <c r="N57" s="62">
        <f t="shared" si="2"/>
        <v>4.9000000000000004</v>
      </c>
      <c r="O57" s="63">
        <f t="shared" si="3"/>
        <v>5</v>
      </c>
      <c r="P57" s="63">
        <v>5</v>
      </c>
      <c r="Q57" s="68">
        <v>82</v>
      </c>
      <c r="R57" s="64">
        <f t="shared" si="4"/>
        <v>2</v>
      </c>
      <c r="S57" s="65">
        <f t="shared" si="5"/>
        <v>17</v>
      </c>
      <c r="T57" s="71">
        <v>36</v>
      </c>
      <c r="U57" s="68">
        <v>26</v>
      </c>
      <c r="V57" s="69" t="s">
        <v>177</v>
      </c>
      <c r="W57" s="62">
        <f>SUM(LARGE(T57:V57,{1,2}))</f>
        <v>62</v>
      </c>
      <c r="X57" s="62">
        <f t="shared" si="6"/>
        <v>6.2</v>
      </c>
      <c r="Y57" s="66">
        <f t="shared" si="7"/>
        <v>7</v>
      </c>
      <c r="Z57" s="67">
        <f t="shared" si="8"/>
        <v>24</v>
      </c>
    </row>
    <row r="58" spans="1:26" ht="24.95" customHeight="1">
      <c r="A58" s="30">
        <v>46</v>
      </c>
      <c r="B58" s="30" t="s">
        <v>167</v>
      </c>
      <c r="C58" s="31" t="s">
        <v>168</v>
      </c>
      <c r="D58" s="68">
        <v>5</v>
      </c>
      <c r="E58" s="69">
        <v>5</v>
      </c>
      <c r="F58" s="69">
        <v>4</v>
      </c>
      <c r="G58" s="62">
        <f>SUM(LARGE(D58:F58,{1,2}))</f>
        <v>10</v>
      </c>
      <c r="H58" s="62">
        <f t="shared" si="0"/>
        <v>5</v>
      </c>
      <c r="I58" s="63">
        <f t="shared" si="1"/>
        <v>5</v>
      </c>
      <c r="J58" s="68">
        <v>25</v>
      </c>
      <c r="K58" s="68">
        <v>24</v>
      </c>
      <c r="L58" s="70">
        <v>24</v>
      </c>
      <c r="M58" s="62">
        <f>SUM(LARGE(J58:L58,{1,2}))</f>
        <v>49</v>
      </c>
      <c r="N58" s="62">
        <f t="shared" si="2"/>
        <v>4.9000000000000004</v>
      </c>
      <c r="O58" s="63">
        <f t="shared" si="3"/>
        <v>5</v>
      </c>
      <c r="P58" s="63">
        <v>5</v>
      </c>
      <c r="Q58" s="68">
        <v>88</v>
      </c>
      <c r="R58" s="64">
        <f t="shared" si="4"/>
        <v>3</v>
      </c>
      <c r="S58" s="65">
        <f t="shared" si="5"/>
        <v>18</v>
      </c>
      <c r="T58" s="71">
        <v>40</v>
      </c>
      <c r="U58" s="68">
        <v>48</v>
      </c>
      <c r="V58" s="69" t="s">
        <v>177</v>
      </c>
      <c r="W58" s="62">
        <f>SUM(LARGE(T58:V58,{1,2}))</f>
        <v>88</v>
      </c>
      <c r="X58" s="62">
        <f t="shared" si="6"/>
        <v>8.8000000000000007</v>
      </c>
      <c r="Y58" s="66">
        <f t="shared" si="7"/>
        <v>9</v>
      </c>
      <c r="Z58" s="67">
        <f t="shared" si="8"/>
        <v>27</v>
      </c>
    </row>
    <row r="59" spans="1:26" ht="24.95" customHeight="1">
      <c r="A59" s="30">
        <v>47</v>
      </c>
      <c r="B59" s="30" t="s">
        <v>169</v>
      </c>
      <c r="C59" s="31" t="s">
        <v>170</v>
      </c>
      <c r="D59" s="68">
        <v>5</v>
      </c>
      <c r="E59" s="69">
        <v>5</v>
      </c>
      <c r="F59" s="69">
        <v>4</v>
      </c>
      <c r="G59" s="62">
        <f>SUM(LARGE(D59:F59,{1,2}))</f>
        <v>10</v>
      </c>
      <c r="H59" s="62">
        <f t="shared" si="0"/>
        <v>5</v>
      </c>
      <c r="I59" s="63">
        <f t="shared" si="1"/>
        <v>5</v>
      </c>
      <c r="J59" s="68">
        <v>24</v>
      </c>
      <c r="K59" s="68" t="s">
        <v>177</v>
      </c>
      <c r="L59" s="70">
        <v>20</v>
      </c>
      <c r="M59" s="62">
        <f>SUM(LARGE(J59:L59,{1,2}))</f>
        <v>44</v>
      </c>
      <c r="N59" s="62">
        <f t="shared" si="2"/>
        <v>4.4000000000000004</v>
      </c>
      <c r="O59" s="63">
        <f t="shared" si="3"/>
        <v>5</v>
      </c>
      <c r="P59" s="63">
        <v>5</v>
      </c>
      <c r="Q59" s="74">
        <v>76</v>
      </c>
      <c r="R59" s="64">
        <f t="shared" si="4"/>
        <v>1</v>
      </c>
      <c r="S59" s="65">
        <f t="shared" si="5"/>
        <v>16</v>
      </c>
      <c r="T59" s="71">
        <v>44</v>
      </c>
      <c r="U59" s="73">
        <v>46</v>
      </c>
      <c r="V59" s="69" t="s">
        <v>177</v>
      </c>
      <c r="W59" s="62">
        <f>SUM(LARGE(T59:V59,{1,2}))</f>
        <v>90</v>
      </c>
      <c r="X59" s="62">
        <f t="shared" si="6"/>
        <v>9</v>
      </c>
      <c r="Y59" s="66">
        <f t="shared" si="7"/>
        <v>9</v>
      </c>
      <c r="Z59" s="67">
        <f t="shared" si="8"/>
        <v>25</v>
      </c>
    </row>
    <row r="60" spans="1:26" ht="24.95" customHeight="1">
      <c r="A60" s="30">
        <v>48</v>
      </c>
      <c r="B60" s="30" t="s">
        <v>171</v>
      </c>
      <c r="C60" s="31" t="s">
        <v>172</v>
      </c>
      <c r="D60" s="68">
        <v>5</v>
      </c>
      <c r="E60" s="69">
        <v>5</v>
      </c>
      <c r="F60" s="69">
        <v>4</v>
      </c>
      <c r="G60" s="62">
        <f>SUM(LARGE(D60:F60,{1,2}))</f>
        <v>10</v>
      </c>
      <c r="H60" s="62">
        <f t="shared" si="0"/>
        <v>5</v>
      </c>
      <c r="I60" s="63">
        <f t="shared" si="1"/>
        <v>5</v>
      </c>
      <c r="J60" s="68">
        <v>24</v>
      </c>
      <c r="K60" s="68" t="s">
        <v>177</v>
      </c>
      <c r="L60" s="70">
        <v>20</v>
      </c>
      <c r="M60" s="62">
        <f>SUM(LARGE(J60:L60,{1,2}))</f>
        <v>44</v>
      </c>
      <c r="N60" s="62">
        <f t="shared" si="2"/>
        <v>4.4000000000000004</v>
      </c>
      <c r="O60" s="63">
        <f t="shared" si="3"/>
        <v>5</v>
      </c>
      <c r="P60" s="63">
        <v>5</v>
      </c>
      <c r="Q60" s="68">
        <v>79</v>
      </c>
      <c r="R60" s="64">
        <f t="shared" si="4"/>
        <v>1</v>
      </c>
      <c r="S60" s="65">
        <f t="shared" si="5"/>
        <v>16</v>
      </c>
      <c r="T60" s="71">
        <v>46</v>
      </c>
      <c r="U60" s="68" t="s">
        <v>177</v>
      </c>
      <c r="V60" s="69">
        <v>70</v>
      </c>
      <c r="W60" s="62">
        <f>SUM(LARGE(T60:V60,{1,2}))</f>
        <v>116</v>
      </c>
      <c r="X60" s="62">
        <f t="shared" si="6"/>
        <v>11.6</v>
      </c>
      <c r="Y60" s="66">
        <f t="shared" si="7"/>
        <v>12</v>
      </c>
      <c r="Z60" s="67">
        <f t="shared" si="8"/>
        <v>28</v>
      </c>
    </row>
    <row r="61" spans="1:26" ht="24.95" customHeight="1">
      <c r="A61" s="30">
        <v>49</v>
      </c>
      <c r="B61" s="30" t="s">
        <v>173</v>
      </c>
      <c r="C61" s="35" t="s">
        <v>176</v>
      </c>
      <c r="D61" s="68">
        <v>5</v>
      </c>
      <c r="E61" s="69">
        <v>5</v>
      </c>
      <c r="F61" s="69">
        <v>5</v>
      </c>
      <c r="G61" s="62">
        <f>SUM(LARGE(D61:F61,{1,2}))</f>
        <v>10</v>
      </c>
      <c r="H61" s="62">
        <f t="shared" si="0"/>
        <v>5</v>
      </c>
      <c r="I61" s="63">
        <f t="shared" si="1"/>
        <v>5</v>
      </c>
      <c r="J61" s="68">
        <v>24</v>
      </c>
      <c r="K61" s="68">
        <v>24</v>
      </c>
      <c r="L61" s="70">
        <v>22</v>
      </c>
      <c r="M61" s="62">
        <f>SUM(LARGE(J61:L61,{1,2}))</f>
        <v>48</v>
      </c>
      <c r="N61" s="62">
        <f t="shared" si="2"/>
        <v>4.8</v>
      </c>
      <c r="O61" s="63">
        <f t="shared" si="3"/>
        <v>5</v>
      </c>
      <c r="P61" s="63">
        <v>5</v>
      </c>
      <c r="Q61" s="68">
        <v>90</v>
      </c>
      <c r="R61" s="64">
        <f t="shared" si="4"/>
        <v>4</v>
      </c>
      <c r="S61" s="65">
        <f t="shared" si="5"/>
        <v>19</v>
      </c>
      <c r="T61" s="71">
        <v>24</v>
      </c>
      <c r="U61" s="68">
        <v>40</v>
      </c>
      <c r="V61" s="69">
        <v>40</v>
      </c>
      <c r="W61" s="62">
        <f>SUM(LARGE(T61:V61,{1,2}))</f>
        <v>80</v>
      </c>
      <c r="X61" s="62">
        <f t="shared" si="6"/>
        <v>8</v>
      </c>
      <c r="Y61" s="66">
        <f t="shared" si="7"/>
        <v>8</v>
      </c>
      <c r="Z61" s="67">
        <f t="shared" si="8"/>
        <v>27</v>
      </c>
    </row>
    <row r="62" spans="1:26" ht="24.95" customHeight="1">
      <c r="A62" s="30">
        <v>50</v>
      </c>
      <c r="B62" s="30" t="s">
        <v>174</v>
      </c>
      <c r="C62" s="31" t="s">
        <v>175</v>
      </c>
      <c r="D62" s="68">
        <v>5</v>
      </c>
      <c r="E62" s="69">
        <v>5</v>
      </c>
      <c r="F62" s="69">
        <v>5</v>
      </c>
      <c r="G62" s="62">
        <f>SUM(LARGE(D62:F62,{1,2}))</f>
        <v>10</v>
      </c>
      <c r="H62" s="62">
        <f t="shared" si="0"/>
        <v>5</v>
      </c>
      <c r="I62" s="63">
        <f t="shared" si="1"/>
        <v>5</v>
      </c>
      <c r="J62" s="68">
        <v>24</v>
      </c>
      <c r="K62" s="68">
        <v>24</v>
      </c>
      <c r="L62" s="70" t="s">
        <v>177</v>
      </c>
      <c r="M62" s="62">
        <f>SUM(LARGE(J62:L62,{1,2}))</f>
        <v>48</v>
      </c>
      <c r="N62" s="62">
        <f t="shared" si="2"/>
        <v>4.8</v>
      </c>
      <c r="O62" s="63">
        <f t="shared" si="3"/>
        <v>5</v>
      </c>
      <c r="P62" s="63">
        <v>5</v>
      </c>
      <c r="Q62" s="68">
        <v>82</v>
      </c>
      <c r="R62" s="64">
        <f t="shared" si="4"/>
        <v>2</v>
      </c>
      <c r="S62" s="65">
        <f t="shared" si="5"/>
        <v>17</v>
      </c>
      <c r="T62" s="71">
        <v>60</v>
      </c>
      <c r="U62" s="68">
        <v>60</v>
      </c>
      <c r="V62" s="69">
        <v>63</v>
      </c>
      <c r="W62" s="62">
        <f>SUM(LARGE(T62:V62,{1,2}))</f>
        <v>123</v>
      </c>
      <c r="X62" s="62">
        <f t="shared" si="6"/>
        <v>12.3</v>
      </c>
      <c r="Y62" s="66">
        <f t="shared" si="7"/>
        <v>13</v>
      </c>
      <c r="Z62" s="67">
        <f t="shared" si="8"/>
        <v>30</v>
      </c>
    </row>
    <row r="64" spans="1:26" ht="18.75">
      <c r="Z64" s="36"/>
    </row>
    <row r="66" spans="2:23" ht="15.75">
      <c r="B66" s="9" t="s">
        <v>36</v>
      </c>
      <c r="C66" s="10"/>
      <c r="L66" s="15"/>
      <c r="M66" s="9" t="s">
        <v>37</v>
      </c>
      <c r="N66" s="15"/>
      <c r="O66" s="15"/>
      <c r="Q66" s="16"/>
      <c r="W66" s="9" t="s">
        <v>38</v>
      </c>
    </row>
    <row r="67" spans="2:23" ht="15.75">
      <c r="B67" s="11" t="s">
        <v>39</v>
      </c>
      <c r="C67" s="10"/>
      <c r="L67" s="10"/>
      <c r="M67" s="11" t="s">
        <v>40</v>
      </c>
      <c r="N67" s="10"/>
      <c r="O67" s="10"/>
      <c r="Q67" s="16"/>
      <c r="W67" s="11" t="s">
        <v>41</v>
      </c>
    </row>
  </sheetData>
  <mergeCells count="19">
    <mergeCell ref="T9:Z9"/>
    <mergeCell ref="D11:I11"/>
    <mergeCell ref="J11:P11"/>
    <mergeCell ref="Q11:R11"/>
    <mergeCell ref="T11:Y11"/>
    <mergeCell ref="R9:S9"/>
    <mergeCell ref="A9:B9"/>
    <mergeCell ref="D9:G9"/>
    <mergeCell ref="H9:J9"/>
    <mergeCell ref="K9:L9"/>
    <mergeCell ref="M9:Q9"/>
    <mergeCell ref="A6:Z6"/>
    <mergeCell ref="A8:B8"/>
    <mergeCell ref="D8:G8"/>
    <mergeCell ref="H8:J8"/>
    <mergeCell ref="K8:L8"/>
    <mergeCell ref="M8:Q8"/>
    <mergeCell ref="R8:S8"/>
    <mergeCell ref="T8:Z8"/>
  </mergeCells>
  <conditionalFormatting sqref="Z13:Z62 Z64">
    <cfRule type="cellIs" dxfId="5" priority="1" operator="lessThan">
      <formula>24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abSelected="1" topLeftCell="C12" zoomScale="80" zoomScaleNormal="80" workbookViewId="0">
      <selection activeCell="Z62" sqref="Z13:Z62"/>
    </sheetView>
  </sheetViews>
  <sheetFormatPr defaultColWidth="9" defaultRowHeight="15"/>
  <cols>
    <col min="1" max="1" width="6.28515625" customWidth="1"/>
    <col min="2" max="2" width="21.28515625" customWidth="1"/>
    <col min="3" max="3" width="25.5703125" customWidth="1"/>
    <col min="4" max="4" width="6.140625" customWidth="1"/>
    <col min="5" max="5" width="5.85546875" customWidth="1"/>
    <col min="6" max="6" width="6.28515625" customWidth="1"/>
    <col min="7" max="7" width="6.7109375" customWidth="1"/>
    <col min="8" max="8" width="6.28515625" customWidth="1"/>
    <col min="9" max="9" width="8" customWidth="1"/>
    <col min="10" max="11" width="7.140625" customWidth="1"/>
    <col min="12" max="14" width="6.7109375" customWidth="1"/>
    <col min="15" max="16" width="7.5703125" customWidth="1"/>
    <col min="17" max="17" width="8.28515625" customWidth="1"/>
    <col min="18" max="18" width="8.7109375" customWidth="1"/>
    <col min="19" max="19" width="9" customWidth="1"/>
    <col min="20" max="20" width="6.7109375" customWidth="1"/>
    <col min="21" max="21" width="6.5703125" customWidth="1"/>
    <col min="22" max="22" width="6.7109375" customWidth="1"/>
    <col min="23" max="23" width="7.28515625" customWidth="1"/>
    <col min="24" max="24" width="9.7109375" customWidth="1"/>
    <col min="25" max="25" width="7.5703125" customWidth="1"/>
    <col min="26" max="26" width="8.85546875" customWidth="1"/>
  </cols>
  <sheetData>
    <row r="1" spans="1:26">
      <c r="I1" s="13"/>
      <c r="R1" s="16"/>
    </row>
    <row r="2" spans="1:26">
      <c r="I2" s="13"/>
      <c r="R2" s="16"/>
    </row>
    <row r="3" spans="1:26">
      <c r="I3" s="13"/>
      <c r="R3" s="16"/>
    </row>
    <row r="4" spans="1:26">
      <c r="I4" s="13"/>
      <c r="R4" s="16"/>
    </row>
    <row r="5" spans="1:26">
      <c r="I5" s="13"/>
      <c r="R5" s="16"/>
    </row>
    <row r="6" spans="1:26" ht="15.75">
      <c r="A6" s="84" t="s">
        <v>0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6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87" t="s">
        <v>1</v>
      </c>
      <c r="B8" s="88"/>
      <c r="C8" s="29" t="s">
        <v>55</v>
      </c>
      <c r="D8" s="87" t="s">
        <v>2</v>
      </c>
      <c r="E8" s="88"/>
      <c r="F8" s="88"/>
      <c r="G8" s="88"/>
      <c r="H8" s="89" t="s">
        <v>73</v>
      </c>
      <c r="I8" s="89"/>
      <c r="J8" s="90"/>
      <c r="K8" s="87" t="s">
        <v>3</v>
      </c>
      <c r="L8" s="88"/>
      <c r="M8" s="89" t="s">
        <v>4</v>
      </c>
      <c r="N8" s="89"/>
      <c r="O8" s="89"/>
      <c r="P8" s="89"/>
      <c r="Q8" s="90"/>
      <c r="R8" s="91" t="s">
        <v>5</v>
      </c>
      <c r="S8" s="91"/>
      <c r="T8" s="92" t="s">
        <v>189</v>
      </c>
      <c r="U8" s="91"/>
      <c r="V8" s="91"/>
      <c r="W8" s="91"/>
      <c r="X8" s="91"/>
      <c r="Y8" s="91"/>
      <c r="Z8" s="93"/>
    </row>
    <row r="9" spans="1:26" ht="15.75">
      <c r="A9" s="94" t="s">
        <v>6</v>
      </c>
      <c r="B9" s="95"/>
      <c r="C9" s="29" t="s">
        <v>72</v>
      </c>
      <c r="D9" s="87" t="s">
        <v>7</v>
      </c>
      <c r="E9" s="88"/>
      <c r="F9" s="88"/>
      <c r="G9" s="88"/>
      <c r="H9" s="89" t="s">
        <v>74</v>
      </c>
      <c r="I9" s="89"/>
      <c r="J9" s="90"/>
      <c r="K9" s="95" t="s">
        <v>8</v>
      </c>
      <c r="L9" s="95"/>
      <c r="M9" s="96" t="s">
        <v>75</v>
      </c>
      <c r="N9" s="96"/>
      <c r="O9" s="96"/>
      <c r="P9" s="96"/>
      <c r="Q9" s="96"/>
      <c r="R9" s="87" t="s">
        <v>9</v>
      </c>
      <c r="S9" s="88"/>
      <c r="T9" s="97" t="s">
        <v>188</v>
      </c>
      <c r="U9" s="88"/>
      <c r="V9" s="88"/>
      <c r="W9" s="88"/>
      <c r="X9" s="88"/>
      <c r="Y9" s="88"/>
      <c r="Z9" s="98"/>
    </row>
    <row r="10" spans="1:26">
      <c r="A10" s="2"/>
      <c r="B10" s="2"/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3"/>
      <c r="W10" s="2"/>
      <c r="X10" s="2"/>
      <c r="Y10" s="2"/>
      <c r="Z10" s="2"/>
    </row>
    <row r="11" spans="1:26" ht="15.75">
      <c r="A11" s="37"/>
      <c r="B11" s="37"/>
      <c r="C11" s="37"/>
      <c r="D11" s="99" t="s">
        <v>10</v>
      </c>
      <c r="E11" s="100"/>
      <c r="F11" s="100"/>
      <c r="G11" s="100"/>
      <c r="H11" s="100"/>
      <c r="I11" s="101"/>
      <c r="J11" s="102" t="s">
        <v>11</v>
      </c>
      <c r="K11" s="100"/>
      <c r="L11" s="100"/>
      <c r="M11" s="100"/>
      <c r="N11" s="100"/>
      <c r="O11" s="100"/>
      <c r="P11" s="101"/>
      <c r="Q11" s="102" t="s">
        <v>12</v>
      </c>
      <c r="R11" s="101"/>
      <c r="S11" s="37"/>
      <c r="T11" s="102" t="s">
        <v>13</v>
      </c>
      <c r="U11" s="100"/>
      <c r="V11" s="100"/>
      <c r="W11" s="100"/>
      <c r="X11" s="100"/>
      <c r="Y11" s="101"/>
      <c r="Z11" s="38"/>
    </row>
    <row r="12" spans="1:26" ht="82.5" customHeight="1">
      <c r="A12" s="39" t="s">
        <v>14</v>
      </c>
      <c r="B12" s="40" t="s">
        <v>15</v>
      </c>
      <c r="C12" s="40" t="s">
        <v>16</v>
      </c>
      <c r="D12" s="56" t="s">
        <v>17</v>
      </c>
      <c r="E12" s="56" t="s">
        <v>18</v>
      </c>
      <c r="F12" s="56" t="s">
        <v>19</v>
      </c>
      <c r="G12" s="56" t="s">
        <v>20</v>
      </c>
      <c r="H12" s="56" t="s">
        <v>21</v>
      </c>
      <c r="I12" s="57" t="s">
        <v>22</v>
      </c>
      <c r="J12" s="56" t="s">
        <v>23</v>
      </c>
      <c r="K12" s="56" t="s">
        <v>24</v>
      </c>
      <c r="L12" s="56" t="s">
        <v>25</v>
      </c>
      <c r="M12" s="56" t="s">
        <v>26</v>
      </c>
      <c r="N12" s="56" t="s">
        <v>21</v>
      </c>
      <c r="O12" s="58" t="s">
        <v>27</v>
      </c>
      <c r="P12" s="57" t="s">
        <v>28</v>
      </c>
      <c r="Q12" s="59" t="s">
        <v>29</v>
      </c>
      <c r="R12" s="58" t="s">
        <v>30</v>
      </c>
      <c r="S12" s="60" t="s">
        <v>31</v>
      </c>
      <c r="T12" s="51" t="s">
        <v>179</v>
      </c>
      <c r="U12" s="51" t="s">
        <v>180</v>
      </c>
      <c r="V12" s="51" t="s">
        <v>181</v>
      </c>
      <c r="W12" s="59" t="s">
        <v>32</v>
      </c>
      <c r="X12" s="59" t="s">
        <v>33</v>
      </c>
      <c r="Y12" s="60" t="s">
        <v>34</v>
      </c>
      <c r="Z12" s="61" t="s">
        <v>35</v>
      </c>
    </row>
    <row r="13" spans="1:26" ht="24.95" customHeight="1">
      <c r="A13" s="30">
        <v>1</v>
      </c>
      <c r="B13" s="30" t="s">
        <v>77</v>
      </c>
      <c r="C13" s="31" t="s">
        <v>78</v>
      </c>
      <c r="D13" s="71">
        <v>5</v>
      </c>
      <c r="E13" s="71">
        <v>5</v>
      </c>
      <c r="F13" s="68">
        <v>5</v>
      </c>
      <c r="G13" s="62">
        <f>SUM(LARGE(D13:F13,{1,2}))</f>
        <v>10</v>
      </c>
      <c r="H13" s="62">
        <f>G13/2</f>
        <v>5</v>
      </c>
      <c r="I13" s="63">
        <f>ROUNDUP(H13,0)</f>
        <v>5</v>
      </c>
      <c r="J13" s="68">
        <v>20</v>
      </c>
      <c r="K13" s="68" t="s">
        <v>177</v>
      </c>
      <c r="L13" s="69">
        <v>25</v>
      </c>
      <c r="M13" s="62">
        <f>SUM(LARGE(J13:L13,{1,2}))</f>
        <v>45</v>
      </c>
      <c r="N13" s="62">
        <f>ROUNDUP(M13/50*5,1)</f>
        <v>4.5</v>
      </c>
      <c r="O13" s="63">
        <f>ROUNDUP(N13,0)</f>
        <v>5</v>
      </c>
      <c r="P13" s="63">
        <v>5</v>
      </c>
      <c r="Q13" s="68" t="s">
        <v>178</v>
      </c>
      <c r="R13" s="64">
        <f>IF(Q13&gt;=95,5,IF(Q13&gt;=90,4,IF(Q13&gt;=85,3, IF(Q13&gt;=80,2,IF(Q13&gt;=75,1,0)))))</f>
        <v>5</v>
      </c>
      <c r="S13" s="65">
        <f>I13+O13+P13+R13</f>
        <v>20</v>
      </c>
      <c r="T13" s="68">
        <v>48</v>
      </c>
      <c r="U13" s="69" t="s">
        <v>177</v>
      </c>
      <c r="V13" s="68">
        <v>0</v>
      </c>
      <c r="W13" s="62">
        <f>SUM(LARGE(T13:V13,{1,2}))</f>
        <v>48</v>
      </c>
      <c r="X13" s="62">
        <f>W13/10</f>
        <v>4.8</v>
      </c>
      <c r="Y13" s="66">
        <f>ROUNDUP(X13,0)</f>
        <v>5</v>
      </c>
      <c r="Z13" s="67">
        <f>S13+Y13</f>
        <v>25</v>
      </c>
    </row>
    <row r="14" spans="1:26" ht="24.95" customHeight="1">
      <c r="A14" s="30">
        <v>2</v>
      </c>
      <c r="B14" s="30" t="s">
        <v>79</v>
      </c>
      <c r="C14" s="31" t="s">
        <v>80</v>
      </c>
      <c r="D14" s="71">
        <v>5</v>
      </c>
      <c r="E14" s="71">
        <v>5</v>
      </c>
      <c r="F14" s="68">
        <v>5</v>
      </c>
      <c r="G14" s="62">
        <f>SUM(LARGE(D14:F14,{1,2}))</f>
        <v>10</v>
      </c>
      <c r="H14" s="62">
        <f t="shared" ref="H14:H62" si="0">G14/2</f>
        <v>5</v>
      </c>
      <c r="I14" s="63">
        <f t="shared" ref="I14:I62" si="1">ROUNDUP(H14,0)</f>
        <v>5</v>
      </c>
      <c r="J14" s="68">
        <v>22</v>
      </c>
      <c r="K14" s="68">
        <v>25</v>
      </c>
      <c r="L14" s="69">
        <v>25</v>
      </c>
      <c r="M14" s="62">
        <f>SUM(LARGE(J14:L14,{1,2}))</f>
        <v>50</v>
      </c>
      <c r="N14" s="62">
        <f t="shared" ref="N14:N62" si="2">ROUNDUP(M14/50*5,1)</f>
        <v>5</v>
      </c>
      <c r="O14" s="63">
        <f t="shared" ref="O14:O62" si="3">ROUNDUP(N14,0)</f>
        <v>5</v>
      </c>
      <c r="P14" s="63">
        <v>5</v>
      </c>
      <c r="Q14" s="68">
        <v>87</v>
      </c>
      <c r="R14" s="64">
        <f t="shared" ref="R14:R62" si="4">IF(Q14&gt;=95,5,IF(Q14&gt;=90,4,IF(Q14&gt;=85,3, IF(Q14&gt;=80,2,IF(Q14&gt;=75,1,0)))))</f>
        <v>3</v>
      </c>
      <c r="S14" s="65">
        <f t="shared" ref="S14:S62" si="5">I14+O14+P14+R14</f>
        <v>18</v>
      </c>
      <c r="T14" s="68">
        <v>64</v>
      </c>
      <c r="U14" s="69">
        <v>96</v>
      </c>
      <c r="V14" s="68">
        <v>100</v>
      </c>
      <c r="W14" s="62">
        <f>SUM(LARGE(T14:V14,{1,2}))</f>
        <v>196</v>
      </c>
      <c r="X14" s="62">
        <f t="shared" ref="X14:X62" si="6">W14/10</f>
        <v>19.600000000000001</v>
      </c>
      <c r="Y14" s="66">
        <f t="shared" ref="Y14:Y62" si="7">ROUNDUP(X14,0)</f>
        <v>20</v>
      </c>
      <c r="Z14" s="67">
        <f t="shared" ref="Z14:Z62" si="8">S14+Y14</f>
        <v>38</v>
      </c>
    </row>
    <row r="15" spans="1:26" ht="24.95" customHeight="1">
      <c r="A15" s="30">
        <v>3</v>
      </c>
      <c r="B15" s="30" t="s">
        <v>81</v>
      </c>
      <c r="C15" s="31" t="s">
        <v>82</v>
      </c>
      <c r="D15" s="71">
        <v>5</v>
      </c>
      <c r="E15" s="71">
        <v>5</v>
      </c>
      <c r="F15" s="68">
        <v>5</v>
      </c>
      <c r="G15" s="62">
        <f>SUM(LARGE(D15:F15,{1,2}))</f>
        <v>10</v>
      </c>
      <c r="H15" s="62">
        <f t="shared" si="0"/>
        <v>5</v>
      </c>
      <c r="I15" s="63">
        <f t="shared" si="1"/>
        <v>5</v>
      </c>
      <c r="J15" s="68">
        <v>23</v>
      </c>
      <c r="K15" s="68">
        <v>20</v>
      </c>
      <c r="L15" s="69">
        <v>25</v>
      </c>
      <c r="M15" s="62">
        <f>SUM(LARGE(J15:L15,{1,2}))</f>
        <v>48</v>
      </c>
      <c r="N15" s="62">
        <f t="shared" si="2"/>
        <v>4.8</v>
      </c>
      <c r="O15" s="63">
        <f t="shared" si="3"/>
        <v>5</v>
      </c>
      <c r="P15" s="63">
        <v>5</v>
      </c>
      <c r="Q15" s="68">
        <v>93</v>
      </c>
      <c r="R15" s="64">
        <f t="shared" si="4"/>
        <v>4</v>
      </c>
      <c r="S15" s="65">
        <f t="shared" si="5"/>
        <v>19</v>
      </c>
      <c r="T15" s="68">
        <v>40</v>
      </c>
      <c r="U15" s="69">
        <v>40</v>
      </c>
      <c r="V15" s="68">
        <v>20</v>
      </c>
      <c r="W15" s="62">
        <f>SUM(LARGE(T15:V15,{1,2}))</f>
        <v>80</v>
      </c>
      <c r="X15" s="62">
        <f t="shared" si="6"/>
        <v>8</v>
      </c>
      <c r="Y15" s="66">
        <f t="shared" si="7"/>
        <v>8</v>
      </c>
      <c r="Z15" s="67">
        <f t="shared" si="8"/>
        <v>27</v>
      </c>
    </row>
    <row r="16" spans="1:26" ht="24.95" customHeight="1">
      <c r="A16" s="30">
        <v>4</v>
      </c>
      <c r="B16" s="30" t="s">
        <v>83</v>
      </c>
      <c r="C16" s="31" t="s">
        <v>84</v>
      </c>
      <c r="D16" s="71">
        <v>5</v>
      </c>
      <c r="E16" s="71">
        <v>5</v>
      </c>
      <c r="F16" s="68">
        <v>5</v>
      </c>
      <c r="G16" s="62">
        <f>SUM(LARGE(D16:F16,{1,2}))</f>
        <v>10</v>
      </c>
      <c r="H16" s="62">
        <f t="shared" si="0"/>
        <v>5</v>
      </c>
      <c r="I16" s="63">
        <f t="shared" si="1"/>
        <v>5</v>
      </c>
      <c r="J16" s="68">
        <v>24</v>
      </c>
      <c r="K16" s="68">
        <v>18</v>
      </c>
      <c r="L16" s="69">
        <v>25</v>
      </c>
      <c r="M16" s="62">
        <f>SUM(LARGE(J16:L16,{1,2}))</f>
        <v>49</v>
      </c>
      <c r="N16" s="62">
        <f t="shared" si="2"/>
        <v>4.9000000000000004</v>
      </c>
      <c r="O16" s="63">
        <f t="shared" si="3"/>
        <v>5</v>
      </c>
      <c r="P16" s="63">
        <v>5</v>
      </c>
      <c r="Q16" s="68">
        <v>89</v>
      </c>
      <c r="R16" s="64">
        <f t="shared" si="4"/>
        <v>3</v>
      </c>
      <c r="S16" s="65">
        <f t="shared" si="5"/>
        <v>18</v>
      </c>
      <c r="T16" s="68">
        <v>42</v>
      </c>
      <c r="U16" s="69">
        <v>50</v>
      </c>
      <c r="V16" s="68">
        <v>53</v>
      </c>
      <c r="W16" s="62">
        <f>SUM(LARGE(T16:V16,{1,2}))</f>
        <v>103</v>
      </c>
      <c r="X16" s="62">
        <f t="shared" si="6"/>
        <v>10.3</v>
      </c>
      <c r="Y16" s="66">
        <f t="shared" si="7"/>
        <v>11</v>
      </c>
      <c r="Z16" s="67">
        <f t="shared" si="8"/>
        <v>29</v>
      </c>
    </row>
    <row r="17" spans="1:26" ht="24.95" customHeight="1">
      <c r="A17" s="30">
        <v>5</v>
      </c>
      <c r="B17" s="30" t="s">
        <v>85</v>
      </c>
      <c r="C17" s="31" t="s">
        <v>86</v>
      </c>
      <c r="D17" s="71">
        <v>5</v>
      </c>
      <c r="E17" s="71">
        <v>5</v>
      </c>
      <c r="F17" s="68">
        <v>5</v>
      </c>
      <c r="G17" s="62">
        <f>SUM(LARGE(D17:F17,{1,2}))</f>
        <v>10</v>
      </c>
      <c r="H17" s="62">
        <f t="shared" si="0"/>
        <v>5</v>
      </c>
      <c r="I17" s="63">
        <f t="shared" si="1"/>
        <v>5</v>
      </c>
      <c r="J17" s="68">
        <v>23</v>
      </c>
      <c r="K17" s="68">
        <v>20</v>
      </c>
      <c r="L17" s="69">
        <v>25</v>
      </c>
      <c r="M17" s="62">
        <f>SUM(LARGE(J17:L17,{1,2}))</f>
        <v>48</v>
      </c>
      <c r="N17" s="62">
        <f t="shared" si="2"/>
        <v>4.8</v>
      </c>
      <c r="O17" s="63">
        <f t="shared" si="3"/>
        <v>5</v>
      </c>
      <c r="P17" s="63">
        <v>5</v>
      </c>
      <c r="Q17" s="68">
        <v>83</v>
      </c>
      <c r="R17" s="64">
        <f t="shared" si="4"/>
        <v>2</v>
      </c>
      <c r="S17" s="65">
        <f t="shared" si="5"/>
        <v>17</v>
      </c>
      <c r="T17" s="68">
        <v>40</v>
      </c>
      <c r="U17" s="69">
        <v>50</v>
      </c>
      <c r="V17" s="68">
        <v>0</v>
      </c>
      <c r="W17" s="62">
        <f>SUM(LARGE(T17:V17,{1,2}))</f>
        <v>90</v>
      </c>
      <c r="X17" s="62">
        <f t="shared" si="6"/>
        <v>9</v>
      </c>
      <c r="Y17" s="66">
        <f t="shared" si="7"/>
        <v>9</v>
      </c>
      <c r="Z17" s="67">
        <f t="shared" si="8"/>
        <v>26</v>
      </c>
    </row>
    <row r="18" spans="1:26" ht="24.95" customHeight="1">
      <c r="A18" s="30">
        <v>6</v>
      </c>
      <c r="B18" s="30" t="s">
        <v>87</v>
      </c>
      <c r="C18" s="31" t="s">
        <v>88</v>
      </c>
      <c r="D18" s="71">
        <v>5</v>
      </c>
      <c r="E18" s="71">
        <v>5</v>
      </c>
      <c r="F18" s="68">
        <v>5</v>
      </c>
      <c r="G18" s="62">
        <f>SUM(LARGE(D18:F18,{1,2}))</f>
        <v>10</v>
      </c>
      <c r="H18" s="62">
        <f t="shared" si="0"/>
        <v>5</v>
      </c>
      <c r="I18" s="63">
        <f t="shared" si="1"/>
        <v>5</v>
      </c>
      <c r="J18" s="68">
        <v>22</v>
      </c>
      <c r="K18" s="68">
        <v>23</v>
      </c>
      <c r="L18" s="69">
        <v>25</v>
      </c>
      <c r="M18" s="62">
        <f>SUM(LARGE(J18:L18,{1,2}))</f>
        <v>48</v>
      </c>
      <c r="N18" s="62">
        <f t="shared" si="2"/>
        <v>4.8</v>
      </c>
      <c r="O18" s="63">
        <f t="shared" si="3"/>
        <v>5</v>
      </c>
      <c r="P18" s="63">
        <v>5</v>
      </c>
      <c r="Q18" s="68">
        <v>91</v>
      </c>
      <c r="R18" s="64">
        <f t="shared" si="4"/>
        <v>4</v>
      </c>
      <c r="S18" s="65">
        <f t="shared" si="5"/>
        <v>19</v>
      </c>
      <c r="T18" s="68">
        <v>44</v>
      </c>
      <c r="U18" s="69">
        <v>66</v>
      </c>
      <c r="V18" s="68">
        <v>78</v>
      </c>
      <c r="W18" s="62">
        <f>SUM(LARGE(T18:V18,{1,2}))</f>
        <v>144</v>
      </c>
      <c r="X18" s="62">
        <f t="shared" si="6"/>
        <v>14.4</v>
      </c>
      <c r="Y18" s="66">
        <f t="shared" si="7"/>
        <v>15</v>
      </c>
      <c r="Z18" s="67">
        <f t="shared" si="8"/>
        <v>34</v>
      </c>
    </row>
    <row r="19" spans="1:26" ht="24.95" customHeight="1">
      <c r="A19" s="30">
        <v>7</v>
      </c>
      <c r="B19" s="30" t="s">
        <v>89</v>
      </c>
      <c r="C19" s="31" t="s">
        <v>90</v>
      </c>
      <c r="D19" s="71">
        <v>5</v>
      </c>
      <c r="E19" s="71">
        <v>5</v>
      </c>
      <c r="F19" s="68">
        <v>5</v>
      </c>
      <c r="G19" s="62">
        <f>SUM(LARGE(D19:F19,{1,2}))</f>
        <v>10</v>
      </c>
      <c r="H19" s="62">
        <f t="shared" si="0"/>
        <v>5</v>
      </c>
      <c r="I19" s="63">
        <f t="shared" si="1"/>
        <v>5</v>
      </c>
      <c r="J19" s="68">
        <v>22</v>
      </c>
      <c r="K19" s="68">
        <v>22</v>
      </c>
      <c r="L19" s="69">
        <v>25</v>
      </c>
      <c r="M19" s="62">
        <f>SUM(LARGE(J19:L19,{1,2}))</f>
        <v>47</v>
      </c>
      <c r="N19" s="62">
        <f t="shared" si="2"/>
        <v>4.7</v>
      </c>
      <c r="O19" s="63">
        <f t="shared" si="3"/>
        <v>5</v>
      </c>
      <c r="P19" s="63">
        <v>5</v>
      </c>
      <c r="Q19" s="68">
        <v>92</v>
      </c>
      <c r="R19" s="64">
        <f t="shared" si="4"/>
        <v>4</v>
      </c>
      <c r="S19" s="65">
        <f t="shared" si="5"/>
        <v>19</v>
      </c>
      <c r="T19" s="68">
        <v>42</v>
      </c>
      <c r="U19" s="69">
        <v>68</v>
      </c>
      <c r="V19" s="68">
        <v>40</v>
      </c>
      <c r="W19" s="62">
        <f>SUM(LARGE(T19:V19,{1,2}))</f>
        <v>110</v>
      </c>
      <c r="X19" s="62">
        <f t="shared" si="6"/>
        <v>11</v>
      </c>
      <c r="Y19" s="66">
        <f t="shared" si="7"/>
        <v>11</v>
      </c>
      <c r="Z19" s="67">
        <f t="shared" si="8"/>
        <v>30</v>
      </c>
    </row>
    <row r="20" spans="1:26" ht="24.95" customHeight="1">
      <c r="A20" s="30">
        <v>8</v>
      </c>
      <c r="B20" s="30" t="s">
        <v>91</v>
      </c>
      <c r="C20" s="31" t="s">
        <v>92</v>
      </c>
      <c r="D20" s="71">
        <v>5</v>
      </c>
      <c r="E20" s="71">
        <v>5</v>
      </c>
      <c r="F20" s="68">
        <v>5</v>
      </c>
      <c r="G20" s="62">
        <f>SUM(LARGE(D20:F20,{1,2}))</f>
        <v>10</v>
      </c>
      <c r="H20" s="62">
        <f t="shared" si="0"/>
        <v>5</v>
      </c>
      <c r="I20" s="63">
        <f t="shared" si="1"/>
        <v>5</v>
      </c>
      <c r="J20" s="68">
        <v>24</v>
      </c>
      <c r="K20" s="68">
        <v>39</v>
      </c>
      <c r="L20" s="69">
        <v>25</v>
      </c>
      <c r="M20" s="62">
        <f>SUM(LARGE(J20:L20,{1,2}))</f>
        <v>64</v>
      </c>
      <c r="N20" s="62">
        <f t="shared" si="2"/>
        <v>6.4</v>
      </c>
      <c r="O20" s="63">
        <f t="shared" si="3"/>
        <v>7</v>
      </c>
      <c r="P20" s="63">
        <v>5</v>
      </c>
      <c r="Q20" s="68">
        <v>91</v>
      </c>
      <c r="R20" s="64">
        <f t="shared" si="4"/>
        <v>4</v>
      </c>
      <c r="S20" s="65">
        <f t="shared" si="5"/>
        <v>21</v>
      </c>
      <c r="T20" s="68">
        <v>68</v>
      </c>
      <c r="U20" s="69">
        <v>88</v>
      </c>
      <c r="V20" s="68">
        <v>85</v>
      </c>
      <c r="W20" s="62">
        <f>SUM(LARGE(T20:V20,{1,2}))</f>
        <v>173</v>
      </c>
      <c r="X20" s="62">
        <f t="shared" si="6"/>
        <v>17.3</v>
      </c>
      <c r="Y20" s="66">
        <f t="shared" si="7"/>
        <v>18</v>
      </c>
      <c r="Z20" s="67">
        <f t="shared" si="8"/>
        <v>39</v>
      </c>
    </row>
    <row r="21" spans="1:26" ht="24.95" customHeight="1">
      <c r="A21" s="30">
        <v>9</v>
      </c>
      <c r="B21" s="30" t="s">
        <v>93</v>
      </c>
      <c r="C21" s="31" t="s">
        <v>94</v>
      </c>
      <c r="D21" s="71">
        <v>5</v>
      </c>
      <c r="E21" s="71">
        <v>5</v>
      </c>
      <c r="F21" s="68">
        <v>5</v>
      </c>
      <c r="G21" s="62">
        <f>SUM(LARGE(D21:F21,{1,2}))</f>
        <v>10</v>
      </c>
      <c r="H21" s="62">
        <f t="shared" si="0"/>
        <v>5</v>
      </c>
      <c r="I21" s="63">
        <f t="shared" si="1"/>
        <v>5</v>
      </c>
      <c r="J21" s="68">
        <v>24</v>
      </c>
      <c r="K21" s="68">
        <v>20</v>
      </c>
      <c r="L21" s="69">
        <v>25</v>
      </c>
      <c r="M21" s="62">
        <f>SUM(LARGE(J21:L21,{1,2}))</f>
        <v>49</v>
      </c>
      <c r="N21" s="62">
        <f t="shared" si="2"/>
        <v>4.9000000000000004</v>
      </c>
      <c r="O21" s="63">
        <f t="shared" si="3"/>
        <v>5</v>
      </c>
      <c r="P21" s="63">
        <v>5</v>
      </c>
      <c r="Q21" s="68">
        <v>98</v>
      </c>
      <c r="R21" s="64">
        <f t="shared" si="4"/>
        <v>5</v>
      </c>
      <c r="S21" s="65">
        <f t="shared" si="5"/>
        <v>20</v>
      </c>
      <c r="T21" s="68">
        <v>40</v>
      </c>
      <c r="U21" s="69">
        <v>40</v>
      </c>
      <c r="V21" s="68">
        <v>0</v>
      </c>
      <c r="W21" s="62">
        <f>SUM(LARGE(T21:V21,{1,2}))</f>
        <v>80</v>
      </c>
      <c r="X21" s="62">
        <f t="shared" si="6"/>
        <v>8</v>
      </c>
      <c r="Y21" s="66">
        <f t="shared" si="7"/>
        <v>8</v>
      </c>
      <c r="Z21" s="67">
        <f t="shared" si="8"/>
        <v>28</v>
      </c>
    </row>
    <row r="22" spans="1:26" ht="24.95" customHeight="1">
      <c r="A22" s="30">
        <v>10</v>
      </c>
      <c r="B22" s="30" t="s">
        <v>95</v>
      </c>
      <c r="C22" s="31" t="s">
        <v>96</v>
      </c>
      <c r="D22" s="71">
        <v>5</v>
      </c>
      <c r="E22" s="71">
        <v>5</v>
      </c>
      <c r="F22" s="68">
        <v>5</v>
      </c>
      <c r="G22" s="62">
        <f>SUM(LARGE(D22:F22,{1,2}))</f>
        <v>10</v>
      </c>
      <c r="H22" s="62">
        <f t="shared" si="0"/>
        <v>5</v>
      </c>
      <c r="I22" s="63">
        <f t="shared" si="1"/>
        <v>5</v>
      </c>
      <c r="J22" s="68">
        <v>23</v>
      </c>
      <c r="K22" s="68">
        <v>20</v>
      </c>
      <c r="L22" s="69">
        <v>25</v>
      </c>
      <c r="M22" s="62">
        <f>SUM(LARGE(J22:L22,{1,2}))</f>
        <v>48</v>
      </c>
      <c r="N22" s="62">
        <f t="shared" si="2"/>
        <v>4.8</v>
      </c>
      <c r="O22" s="63">
        <f t="shared" si="3"/>
        <v>5</v>
      </c>
      <c r="P22" s="63">
        <v>5</v>
      </c>
      <c r="Q22" s="68">
        <v>88</v>
      </c>
      <c r="R22" s="64">
        <f t="shared" si="4"/>
        <v>3</v>
      </c>
      <c r="S22" s="65">
        <f t="shared" si="5"/>
        <v>18</v>
      </c>
      <c r="T22" s="68">
        <v>40</v>
      </c>
      <c r="U22" s="69">
        <v>40</v>
      </c>
      <c r="V22" s="68">
        <v>25</v>
      </c>
      <c r="W22" s="62">
        <f>SUM(LARGE(T22:V22,{1,2}))</f>
        <v>80</v>
      </c>
      <c r="X22" s="62">
        <f t="shared" si="6"/>
        <v>8</v>
      </c>
      <c r="Y22" s="66">
        <f t="shared" si="7"/>
        <v>8</v>
      </c>
      <c r="Z22" s="67">
        <f t="shared" si="8"/>
        <v>26</v>
      </c>
    </row>
    <row r="23" spans="1:26" ht="24.95" customHeight="1">
      <c r="A23" s="30">
        <v>11</v>
      </c>
      <c r="B23" s="30" t="s">
        <v>97</v>
      </c>
      <c r="C23" s="31" t="s">
        <v>98</v>
      </c>
      <c r="D23" s="71">
        <v>5</v>
      </c>
      <c r="E23" s="71">
        <v>5</v>
      </c>
      <c r="F23" s="68">
        <v>5</v>
      </c>
      <c r="G23" s="62">
        <f>SUM(LARGE(D23:F23,{1,2}))</f>
        <v>10</v>
      </c>
      <c r="H23" s="62">
        <f t="shared" si="0"/>
        <v>5</v>
      </c>
      <c r="I23" s="63">
        <f t="shared" si="1"/>
        <v>5</v>
      </c>
      <c r="J23" s="68">
        <v>22</v>
      </c>
      <c r="K23" s="68">
        <v>25</v>
      </c>
      <c r="L23" s="69">
        <v>25</v>
      </c>
      <c r="M23" s="62">
        <f>SUM(LARGE(J23:L23,{1,2}))</f>
        <v>50</v>
      </c>
      <c r="N23" s="62">
        <f t="shared" si="2"/>
        <v>5</v>
      </c>
      <c r="O23" s="63">
        <f t="shared" si="3"/>
        <v>5</v>
      </c>
      <c r="P23" s="63">
        <v>5</v>
      </c>
      <c r="Q23" s="68">
        <v>82</v>
      </c>
      <c r="R23" s="64">
        <f t="shared" si="4"/>
        <v>2</v>
      </c>
      <c r="S23" s="65">
        <f t="shared" si="5"/>
        <v>17</v>
      </c>
      <c r="T23" s="68">
        <v>20</v>
      </c>
      <c r="U23" s="69">
        <v>56.000000000000007</v>
      </c>
      <c r="V23" s="68" t="s">
        <v>177</v>
      </c>
      <c r="W23" s="62">
        <f>SUM(LARGE(T23:V23,{1,2}))</f>
        <v>76</v>
      </c>
      <c r="X23" s="62">
        <f t="shared" si="6"/>
        <v>7.6</v>
      </c>
      <c r="Y23" s="66">
        <f t="shared" si="7"/>
        <v>8</v>
      </c>
      <c r="Z23" s="67">
        <f t="shared" si="8"/>
        <v>25</v>
      </c>
    </row>
    <row r="24" spans="1:26" ht="24.95" customHeight="1">
      <c r="A24" s="30">
        <v>12</v>
      </c>
      <c r="B24" s="30" t="s">
        <v>99</v>
      </c>
      <c r="C24" s="31" t="s">
        <v>100</v>
      </c>
      <c r="D24" s="71">
        <v>5</v>
      </c>
      <c r="E24" s="71">
        <v>5</v>
      </c>
      <c r="F24" s="68">
        <v>5</v>
      </c>
      <c r="G24" s="62">
        <f>SUM(LARGE(D24:F24,{1,2}))</f>
        <v>10</v>
      </c>
      <c r="H24" s="62">
        <f t="shared" si="0"/>
        <v>5</v>
      </c>
      <c r="I24" s="63">
        <f t="shared" si="1"/>
        <v>5</v>
      </c>
      <c r="J24" s="68">
        <v>22</v>
      </c>
      <c r="K24" s="68">
        <v>20</v>
      </c>
      <c r="L24" s="69">
        <v>25</v>
      </c>
      <c r="M24" s="62">
        <f>SUM(LARGE(J24:L24,{1,2}))</f>
        <v>47</v>
      </c>
      <c r="N24" s="62">
        <f t="shared" si="2"/>
        <v>4.7</v>
      </c>
      <c r="O24" s="63">
        <f t="shared" si="3"/>
        <v>5</v>
      </c>
      <c r="P24" s="63">
        <v>5</v>
      </c>
      <c r="Q24" s="68">
        <v>86</v>
      </c>
      <c r="R24" s="64">
        <f t="shared" si="4"/>
        <v>3</v>
      </c>
      <c r="S24" s="65">
        <f t="shared" si="5"/>
        <v>18</v>
      </c>
      <c r="T24" s="68">
        <v>40</v>
      </c>
      <c r="U24" s="69">
        <v>44</v>
      </c>
      <c r="V24" s="68">
        <v>60</v>
      </c>
      <c r="W24" s="62">
        <f>SUM(LARGE(T24:V24,{1,2}))</f>
        <v>104</v>
      </c>
      <c r="X24" s="62">
        <f t="shared" si="6"/>
        <v>10.4</v>
      </c>
      <c r="Y24" s="66">
        <f t="shared" si="7"/>
        <v>11</v>
      </c>
      <c r="Z24" s="67">
        <f t="shared" si="8"/>
        <v>29</v>
      </c>
    </row>
    <row r="25" spans="1:26" ht="24.95" customHeight="1">
      <c r="A25" s="30">
        <v>13</v>
      </c>
      <c r="B25" s="30" t="s">
        <v>101</v>
      </c>
      <c r="C25" s="31" t="s">
        <v>102</v>
      </c>
      <c r="D25" s="71">
        <v>5</v>
      </c>
      <c r="E25" s="71">
        <v>5</v>
      </c>
      <c r="F25" s="68">
        <v>5</v>
      </c>
      <c r="G25" s="62">
        <f>SUM(LARGE(D25:F25,{1,2}))</f>
        <v>10</v>
      </c>
      <c r="H25" s="62">
        <f t="shared" si="0"/>
        <v>5</v>
      </c>
      <c r="I25" s="63">
        <f t="shared" si="1"/>
        <v>5</v>
      </c>
      <c r="J25" s="68">
        <v>21</v>
      </c>
      <c r="K25" s="68">
        <v>20</v>
      </c>
      <c r="L25" s="69">
        <v>25</v>
      </c>
      <c r="M25" s="62">
        <f>SUM(LARGE(J25:L25,{1,2}))</f>
        <v>46</v>
      </c>
      <c r="N25" s="62">
        <f t="shared" si="2"/>
        <v>4.5999999999999996</v>
      </c>
      <c r="O25" s="63">
        <f t="shared" si="3"/>
        <v>5</v>
      </c>
      <c r="P25" s="63">
        <v>5</v>
      </c>
      <c r="Q25" s="72">
        <v>71</v>
      </c>
      <c r="R25" s="64">
        <f t="shared" si="4"/>
        <v>0</v>
      </c>
      <c r="S25" s="65">
        <f t="shared" si="5"/>
        <v>15</v>
      </c>
      <c r="T25" s="68">
        <v>42</v>
      </c>
      <c r="U25" s="69">
        <v>16</v>
      </c>
      <c r="V25" s="68">
        <v>48</v>
      </c>
      <c r="W25" s="62">
        <f>SUM(LARGE(T25:V25,{1,2}))</f>
        <v>90</v>
      </c>
      <c r="X25" s="62">
        <f t="shared" si="6"/>
        <v>9</v>
      </c>
      <c r="Y25" s="66">
        <f t="shared" si="7"/>
        <v>9</v>
      </c>
      <c r="Z25" s="67">
        <f t="shared" si="8"/>
        <v>24</v>
      </c>
    </row>
    <row r="26" spans="1:26" ht="24.95" customHeight="1">
      <c r="A26" s="30">
        <v>14</v>
      </c>
      <c r="B26" s="30" t="s">
        <v>103</v>
      </c>
      <c r="C26" s="31" t="s">
        <v>104</v>
      </c>
      <c r="D26" s="71">
        <v>5</v>
      </c>
      <c r="E26" s="71">
        <v>5</v>
      </c>
      <c r="F26" s="68">
        <v>5</v>
      </c>
      <c r="G26" s="62">
        <f>SUM(LARGE(D26:F26,{1,2}))</f>
        <v>10</v>
      </c>
      <c r="H26" s="62">
        <f t="shared" si="0"/>
        <v>5</v>
      </c>
      <c r="I26" s="63">
        <f t="shared" si="1"/>
        <v>5</v>
      </c>
      <c r="J26" s="68">
        <v>24</v>
      </c>
      <c r="K26" s="68">
        <v>20</v>
      </c>
      <c r="L26" s="69">
        <v>25</v>
      </c>
      <c r="M26" s="62">
        <f>SUM(LARGE(J26:L26,{1,2}))</f>
        <v>49</v>
      </c>
      <c r="N26" s="62">
        <f t="shared" si="2"/>
        <v>4.9000000000000004</v>
      </c>
      <c r="O26" s="63">
        <f t="shared" si="3"/>
        <v>5</v>
      </c>
      <c r="P26" s="63">
        <v>5</v>
      </c>
      <c r="Q26" s="68">
        <v>97</v>
      </c>
      <c r="R26" s="64">
        <f t="shared" si="4"/>
        <v>5</v>
      </c>
      <c r="S26" s="65">
        <f t="shared" si="5"/>
        <v>20</v>
      </c>
      <c r="T26" s="68">
        <v>48</v>
      </c>
      <c r="U26" s="69">
        <v>57.999999999999993</v>
      </c>
      <c r="V26" s="68">
        <v>50</v>
      </c>
      <c r="W26" s="62">
        <f>SUM(LARGE(T26:V26,{1,2}))</f>
        <v>108</v>
      </c>
      <c r="X26" s="62">
        <f t="shared" si="6"/>
        <v>10.8</v>
      </c>
      <c r="Y26" s="66">
        <f t="shared" si="7"/>
        <v>11</v>
      </c>
      <c r="Z26" s="67">
        <f t="shared" si="8"/>
        <v>31</v>
      </c>
    </row>
    <row r="27" spans="1:26" ht="24.95" customHeight="1">
      <c r="A27" s="30">
        <v>15</v>
      </c>
      <c r="B27" s="30" t="s">
        <v>105</v>
      </c>
      <c r="C27" s="31" t="s">
        <v>106</v>
      </c>
      <c r="D27" s="71">
        <v>5</v>
      </c>
      <c r="E27" s="71">
        <v>5</v>
      </c>
      <c r="F27" s="68">
        <v>5</v>
      </c>
      <c r="G27" s="62">
        <f>SUM(LARGE(D27:F27,{1,2}))</f>
        <v>10</v>
      </c>
      <c r="H27" s="62">
        <f t="shared" si="0"/>
        <v>5</v>
      </c>
      <c r="I27" s="63">
        <f t="shared" si="1"/>
        <v>5</v>
      </c>
      <c r="J27" s="68">
        <v>24</v>
      </c>
      <c r="K27" s="68">
        <v>20</v>
      </c>
      <c r="L27" s="69">
        <v>25</v>
      </c>
      <c r="M27" s="62">
        <f>SUM(LARGE(J27:L27,{1,2}))</f>
        <v>49</v>
      </c>
      <c r="N27" s="62">
        <f t="shared" si="2"/>
        <v>4.9000000000000004</v>
      </c>
      <c r="O27" s="63">
        <f t="shared" si="3"/>
        <v>5</v>
      </c>
      <c r="P27" s="63">
        <v>5</v>
      </c>
      <c r="Q27" s="68">
        <v>86</v>
      </c>
      <c r="R27" s="64">
        <f t="shared" si="4"/>
        <v>3</v>
      </c>
      <c r="S27" s="65">
        <f t="shared" si="5"/>
        <v>18</v>
      </c>
      <c r="T27" s="68">
        <v>40</v>
      </c>
      <c r="U27" s="69">
        <v>57.999999999999993</v>
      </c>
      <c r="V27" s="68">
        <v>50</v>
      </c>
      <c r="W27" s="62">
        <f>SUM(LARGE(T27:V27,{1,2}))</f>
        <v>108</v>
      </c>
      <c r="X27" s="62">
        <f t="shared" si="6"/>
        <v>10.8</v>
      </c>
      <c r="Y27" s="66">
        <f t="shared" si="7"/>
        <v>11</v>
      </c>
      <c r="Z27" s="67">
        <f t="shared" si="8"/>
        <v>29</v>
      </c>
    </row>
    <row r="28" spans="1:26" ht="24.95" customHeight="1">
      <c r="A28" s="30">
        <v>16</v>
      </c>
      <c r="B28" s="30" t="s">
        <v>107</v>
      </c>
      <c r="C28" s="31" t="s">
        <v>108</v>
      </c>
      <c r="D28" s="71">
        <v>5</v>
      </c>
      <c r="E28" s="71">
        <v>5</v>
      </c>
      <c r="F28" s="68">
        <v>5</v>
      </c>
      <c r="G28" s="62">
        <f>SUM(LARGE(D28:F28,{1,2}))</f>
        <v>10</v>
      </c>
      <c r="H28" s="62">
        <f t="shared" si="0"/>
        <v>5</v>
      </c>
      <c r="I28" s="63">
        <f t="shared" si="1"/>
        <v>5</v>
      </c>
      <c r="J28" s="68">
        <v>20</v>
      </c>
      <c r="K28" s="68" t="s">
        <v>177</v>
      </c>
      <c r="L28" s="69">
        <v>25</v>
      </c>
      <c r="M28" s="62">
        <f>SUM(LARGE(J28:L28,{1,2}))</f>
        <v>45</v>
      </c>
      <c r="N28" s="62">
        <f t="shared" si="2"/>
        <v>4.5</v>
      </c>
      <c r="O28" s="63">
        <f t="shared" si="3"/>
        <v>5</v>
      </c>
      <c r="P28" s="63">
        <v>5</v>
      </c>
      <c r="Q28" s="72">
        <v>73</v>
      </c>
      <c r="R28" s="64">
        <f t="shared" si="4"/>
        <v>0</v>
      </c>
      <c r="S28" s="65">
        <f t="shared" si="5"/>
        <v>15</v>
      </c>
      <c r="T28" s="68">
        <v>38</v>
      </c>
      <c r="U28" s="69" t="s">
        <v>177</v>
      </c>
      <c r="V28" s="68">
        <v>38</v>
      </c>
      <c r="W28" s="62">
        <f>SUM(LARGE(T28:V28,{1,2}))</f>
        <v>76</v>
      </c>
      <c r="X28" s="62">
        <f t="shared" si="6"/>
        <v>7.6</v>
      </c>
      <c r="Y28" s="66">
        <f t="shared" si="7"/>
        <v>8</v>
      </c>
      <c r="Z28" s="67">
        <f t="shared" si="8"/>
        <v>23</v>
      </c>
    </row>
    <row r="29" spans="1:26" ht="24.95" customHeight="1">
      <c r="A29" s="30">
        <v>17</v>
      </c>
      <c r="B29" s="30" t="s">
        <v>109</v>
      </c>
      <c r="C29" s="31" t="s">
        <v>110</v>
      </c>
      <c r="D29" s="71">
        <v>5</v>
      </c>
      <c r="E29" s="71">
        <v>5</v>
      </c>
      <c r="F29" s="68">
        <v>5</v>
      </c>
      <c r="G29" s="62">
        <f>SUM(LARGE(D29:F29,{1,2}))</f>
        <v>10</v>
      </c>
      <c r="H29" s="62">
        <f t="shared" si="0"/>
        <v>5</v>
      </c>
      <c r="I29" s="63">
        <f t="shared" si="1"/>
        <v>5</v>
      </c>
      <c r="J29" s="68">
        <v>22</v>
      </c>
      <c r="K29" s="68">
        <v>25</v>
      </c>
      <c r="L29" s="69">
        <v>25</v>
      </c>
      <c r="M29" s="62">
        <f>SUM(LARGE(J29:L29,{1,2}))</f>
        <v>50</v>
      </c>
      <c r="N29" s="62">
        <f t="shared" si="2"/>
        <v>5</v>
      </c>
      <c r="O29" s="63">
        <f t="shared" si="3"/>
        <v>5</v>
      </c>
      <c r="P29" s="63">
        <v>5</v>
      </c>
      <c r="Q29" s="68">
        <v>91</v>
      </c>
      <c r="R29" s="64">
        <f t="shared" si="4"/>
        <v>4</v>
      </c>
      <c r="S29" s="65">
        <f t="shared" si="5"/>
        <v>19</v>
      </c>
      <c r="T29" s="68">
        <v>46</v>
      </c>
      <c r="U29" s="69">
        <v>74</v>
      </c>
      <c r="V29" s="68">
        <v>58</v>
      </c>
      <c r="W29" s="62">
        <f>SUM(LARGE(T29:V29,{1,2}))</f>
        <v>132</v>
      </c>
      <c r="X29" s="62">
        <f t="shared" si="6"/>
        <v>13.2</v>
      </c>
      <c r="Y29" s="66">
        <f t="shared" si="7"/>
        <v>14</v>
      </c>
      <c r="Z29" s="67">
        <f t="shared" si="8"/>
        <v>33</v>
      </c>
    </row>
    <row r="30" spans="1:26" ht="24.95" customHeight="1">
      <c r="A30" s="30">
        <v>18</v>
      </c>
      <c r="B30" s="30" t="s">
        <v>111</v>
      </c>
      <c r="C30" s="31" t="s">
        <v>112</v>
      </c>
      <c r="D30" s="71">
        <v>5</v>
      </c>
      <c r="E30" s="71">
        <v>5</v>
      </c>
      <c r="F30" s="68">
        <v>5</v>
      </c>
      <c r="G30" s="62">
        <f>SUM(LARGE(D30:F30,{1,2}))</f>
        <v>10</v>
      </c>
      <c r="H30" s="62">
        <f t="shared" si="0"/>
        <v>5</v>
      </c>
      <c r="I30" s="63">
        <f t="shared" si="1"/>
        <v>5</v>
      </c>
      <c r="J30" s="68">
        <v>24</v>
      </c>
      <c r="K30" s="68">
        <v>20</v>
      </c>
      <c r="L30" s="69">
        <v>25</v>
      </c>
      <c r="M30" s="62">
        <f>SUM(LARGE(J30:L30,{1,2}))</f>
        <v>49</v>
      </c>
      <c r="N30" s="62">
        <f t="shared" si="2"/>
        <v>4.9000000000000004</v>
      </c>
      <c r="O30" s="63">
        <f t="shared" si="3"/>
        <v>5</v>
      </c>
      <c r="P30" s="63">
        <v>5</v>
      </c>
      <c r="Q30" s="68">
        <v>84</v>
      </c>
      <c r="R30" s="64">
        <f t="shared" si="4"/>
        <v>2</v>
      </c>
      <c r="S30" s="65">
        <f t="shared" si="5"/>
        <v>17</v>
      </c>
      <c r="T30" s="68">
        <v>50</v>
      </c>
      <c r="U30" s="69">
        <v>44</v>
      </c>
      <c r="V30" s="68">
        <v>63</v>
      </c>
      <c r="W30" s="62">
        <f>SUM(LARGE(T30:V30,{1,2}))</f>
        <v>113</v>
      </c>
      <c r="X30" s="62">
        <f t="shared" si="6"/>
        <v>11.3</v>
      </c>
      <c r="Y30" s="66">
        <f t="shared" si="7"/>
        <v>12</v>
      </c>
      <c r="Z30" s="67">
        <f t="shared" si="8"/>
        <v>29</v>
      </c>
    </row>
    <row r="31" spans="1:26" ht="24.95" customHeight="1">
      <c r="A31" s="30">
        <v>19</v>
      </c>
      <c r="B31" s="30" t="s">
        <v>113</v>
      </c>
      <c r="C31" s="31" t="s">
        <v>114</v>
      </c>
      <c r="D31" s="71">
        <v>5</v>
      </c>
      <c r="E31" s="71">
        <v>5</v>
      </c>
      <c r="F31" s="68">
        <v>5</v>
      </c>
      <c r="G31" s="62">
        <f>SUM(LARGE(D31:F31,{1,2}))</f>
        <v>10</v>
      </c>
      <c r="H31" s="62">
        <f t="shared" si="0"/>
        <v>5</v>
      </c>
      <c r="I31" s="63">
        <f t="shared" si="1"/>
        <v>5</v>
      </c>
      <c r="J31" s="68">
        <v>25</v>
      </c>
      <c r="K31" s="68">
        <v>24</v>
      </c>
      <c r="L31" s="69">
        <v>25</v>
      </c>
      <c r="M31" s="62">
        <f>SUM(LARGE(J31:L31,{1,2}))</f>
        <v>50</v>
      </c>
      <c r="N31" s="62">
        <f t="shared" si="2"/>
        <v>5</v>
      </c>
      <c r="O31" s="63">
        <f t="shared" si="3"/>
        <v>5</v>
      </c>
      <c r="P31" s="63">
        <v>5</v>
      </c>
      <c r="Q31" s="68">
        <v>91</v>
      </c>
      <c r="R31" s="64">
        <f t="shared" si="4"/>
        <v>4</v>
      </c>
      <c r="S31" s="65">
        <f t="shared" si="5"/>
        <v>19</v>
      </c>
      <c r="T31" s="68">
        <v>50</v>
      </c>
      <c r="U31" s="69">
        <v>72</v>
      </c>
      <c r="V31" s="68">
        <v>63</v>
      </c>
      <c r="W31" s="62">
        <f>SUM(LARGE(T31:V31,{1,2}))</f>
        <v>135</v>
      </c>
      <c r="X31" s="62">
        <f t="shared" si="6"/>
        <v>13.5</v>
      </c>
      <c r="Y31" s="66">
        <f t="shared" si="7"/>
        <v>14</v>
      </c>
      <c r="Z31" s="67">
        <f t="shared" si="8"/>
        <v>33</v>
      </c>
    </row>
    <row r="32" spans="1:26" ht="24.95" customHeight="1">
      <c r="A32" s="30">
        <v>20</v>
      </c>
      <c r="B32" s="30" t="s">
        <v>115</v>
      </c>
      <c r="C32" s="31" t="s">
        <v>116</v>
      </c>
      <c r="D32" s="71">
        <v>5</v>
      </c>
      <c r="E32" s="71">
        <v>5</v>
      </c>
      <c r="F32" s="68">
        <v>5</v>
      </c>
      <c r="G32" s="62">
        <f>SUM(LARGE(D32:F32,{1,2}))</f>
        <v>10</v>
      </c>
      <c r="H32" s="62">
        <f t="shared" si="0"/>
        <v>5</v>
      </c>
      <c r="I32" s="63">
        <f t="shared" si="1"/>
        <v>5</v>
      </c>
      <c r="J32" s="68">
        <v>25</v>
      </c>
      <c r="K32" s="68">
        <v>18</v>
      </c>
      <c r="L32" s="69">
        <v>25</v>
      </c>
      <c r="M32" s="62">
        <f>SUM(LARGE(J32:L32,{1,2}))</f>
        <v>50</v>
      </c>
      <c r="N32" s="62">
        <f t="shared" si="2"/>
        <v>5</v>
      </c>
      <c r="O32" s="63">
        <f t="shared" si="3"/>
        <v>5</v>
      </c>
      <c r="P32" s="63">
        <v>5</v>
      </c>
      <c r="Q32" s="68">
        <v>90</v>
      </c>
      <c r="R32" s="64">
        <f t="shared" si="4"/>
        <v>4</v>
      </c>
      <c r="S32" s="65">
        <f t="shared" si="5"/>
        <v>19</v>
      </c>
      <c r="T32" s="68">
        <v>42</v>
      </c>
      <c r="U32" s="69">
        <v>40</v>
      </c>
      <c r="V32" s="68">
        <v>58</v>
      </c>
      <c r="W32" s="62">
        <f>SUM(LARGE(T32:V32,{1,2}))</f>
        <v>100</v>
      </c>
      <c r="X32" s="62">
        <f t="shared" si="6"/>
        <v>10</v>
      </c>
      <c r="Y32" s="66">
        <f t="shared" si="7"/>
        <v>10</v>
      </c>
      <c r="Z32" s="67">
        <f t="shared" si="8"/>
        <v>29</v>
      </c>
    </row>
    <row r="33" spans="1:26" ht="24.95" customHeight="1">
      <c r="A33" s="30">
        <v>21</v>
      </c>
      <c r="B33" s="30" t="s">
        <v>117</v>
      </c>
      <c r="C33" s="31" t="s">
        <v>118</v>
      </c>
      <c r="D33" s="71">
        <v>5</v>
      </c>
      <c r="E33" s="71">
        <v>5</v>
      </c>
      <c r="F33" s="68">
        <v>5</v>
      </c>
      <c r="G33" s="62">
        <f>SUM(LARGE(D33:F33,{1,2}))</f>
        <v>10</v>
      </c>
      <c r="H33" s="62">
        <f t="shared" si="0"/>
        <v>5</v>
      </c>
      <c r="I33" s="63">
        <f t="shared" si="1"/>
        <v>5</v>
      </c>
      <c r="J33" s="68">
        <v>25</v>
      </c>
      <c r="K33" s="68">
        <v>22</v>
      </c>
      <c r="L33" s="69">
        <v>25</v>
      </c>
      <c r="M33" s="62">
        <f>SUM(LARGE(J33:L33,{1,2}))</f>
        <v>50</v>
      </c>
      <c r="N33" s="62">
        <f t="shared" si="2"/>
        <v>5</v>
      </c>
      <c r="O33" s="63">
        <f t="shared" si="3"/>
        <v>5</v>
      </c>
      <c r="P33" s="63">
        <v>5</v>
      </c>
      <c r="Q33" s="68">
        <v>86</v>
      </c>
      <c r="R33" s="64">
        <f t="shared" si="4"/>
        <v>3</v>
      </c>
      <c r="S33" s="65">
        <f t="shared" si="5"/>
        <v>18</v>
      </c>
      <c r="T33" s="68">
        <v>40</v>
      </c>
      <c r="U33" s="69">
        <v>60</v>
      </c>
      <c r="V33" s="68">
        <v>75</v>
      </c>
      <c r="W33" s="62">
        <f>SUM(LARGE(T33:V33,{1,2}))</f>
        <v>135</v>
      </c>
      <c r="X33" s="62">
        <f t="shared" si="6"/>
        <v>13.5</v>
      </c>
      <c r="Y33" s="66">
        <f t="shared" si="7"/>
        <v>14</v>
      </c>
      <c r="Z33" s="67">
        <f t="shared" si="8"/>
        <v>32</v>
      </c>
    </row>
    <row r="34" spans="1:26" ht="24.95" customHeight="1">
      <c r="A34" s="30">
        <v>22</v>
      </c>
      <c r="B34" s="30" t="s">
        <v>119</v>
      </c>
      <c r="C34" s="31" t="s">
        <v>120</v>
      </c>
      <c r="D34" s="71">
        <v>5</v>
      </c>
      <c r="E34" s="71">
        <v>5</v>
      </c>
      <c r="F34" s="68">
        <v>5</v>
      </c>
      <c r="G34" s="62">
        <f>SUM(LARGE(D34:F34,{1,2}))</f>
        <v>10</v>
      </c>
      <c r="H34" s="62">
        <f t="shared" si="0"/>
        <v>5</v>
      </c>
      <c r="I34" s="63">
        <f t="shared" si="1"/>
        <v>5</v>
      </c>
      <c r="J34" s="68">
        <v>25</v>
      </c>
      <c r="K34" s="68">
        <v>20</v>
      </c>
      <c r="L34" s="69">
        <v>25</v>
      </c>
      <c r="M34" s="62">
        <f>SUM(LARGE(J34:L34,{1,2}))</f>
        <v>50</v>
      </c>
      <c r="N34" s="62">
        <f t="shared" si="2"/>
        <v>5</v>
      </c>
      <c r="O34" s="63">
        <f t="shared" si="3"/>
        <v>5</v>
      </c>
      <c r="P34" s="63">
        <v>5</v>
      </c>
      <c r="Q34" s="68">
        <v>82</v>
      </c>
      <c r="R34" s="64">
        <f t="shared" si="4"/>
        <v>2</v>
      </c>
      <c r="S34" s="65">
        <f t="shared" si="5"/>
        <v>17</v>
      </c>
      <c r="T34" s="68">
        <v>40</v>
      </c>
      <c r="U34" s="69">
        <v>44</v>
      </c>
      <c r="V34" s="68">
        <v>80</v>
      </c>
      <c r="W34" s="62">
        <f>SUM(LARGE(T34:V34,{1,2}))</f>
        <v>124</v>
      </c>
      <c r="X34" s="62">
        <f t="shared" si="6"/>
        <v>12.4</v>
      </c>
      <c r="Y34" s="66">
        <f t="shared" si="7"/>
        <v>13</v>
      </c>
      <c r="Z34" s="67">
        <f t="shared" si="8"/>
        <v>30</v>
      </c>
    </row>
    <row r="35" spans="1:26" ht="24.95" customHeight="1">
      <c r="A35" s="30">
        <v>23</v>
      </c>
      <c r="B35" s="30" t="s">
        <v>121</v>
      </c>
      <c r="C35" s="31" t="s">
        <v>122</v>
      </c>
      <c r="D35" s="71">
        <v>5</v>
      </c>
      <c r="E35" s="71">
        <v>5</v>
      </c>
      <c r="F35" s="68">
        <v>5</v>
      </c>
      <c r="G35" s="62">
        <f>SUM(LARGE(D35:F35,{1,2}))</f>
        <v>10</v>
      </c>
      <c r="H35" s="62">
        <f t="shared" si="0"/>
        <v>5</v>
      </c>
      <c r="I35" s="63">
        <f t="shared" si="1"/>
        <v>5</v>
      </c>
      <c r="J35" s="68">
        <v>25</v>
      </c>
      <c r="K35" s="68">
        <v>25</v>
      </c>
      <c r="L35" s="69">
        <v>25</v>
      </c>
      <c r="M35" s="62">
        <f>SUM(LARGE(J35:L35,{1,2}))</f>
        <v>50</v>
      </c>
      <c r="N35" s="62">
        <f t="shared" si="2"/>
        <v>5</v>
      </c>
      <c r="O35" s="63">
        <f t="shared" si="3"/>
        <v>5</v>
      </c>
      <c r="P35" s="63">
        <v>5</v>
      </c>
      <c r="Q35" s="68">
        <v>96</v>
      </c>
      <c r="R35" s="64">
        <f t="shared" si="4"/>
        <v>5</v>
      </c>
      <c r="S35" s="65">
        <f t="shared" si="5"/>
        <v>20</v>
      </c>
      <c r="T35" s="68">
        <v>40</v>
      </c>
      <c r="U35" s="69">
        <v>90</v>
      </c>
      <c r="V35" s="68">
        <v>93</v>
      </c>
      <c r="W35" s="62">
        <f>SUM(LARGE(T35:V35,{1,2}))</f>
        <v>183</v>
      </c>
      <c r="X35" s="62">
        <f t="shared" si="6"/>
        <v>18.3</v>
      </c>
      <c r="Y35" s="66">
        <f t="shared" si="7"/>
        <v>19</v>
      </c>
      <c r="Z35" s="67">
        <f t="shared" si="8"/>
        <v>39</v>
      </c>
    </row>
    <row r="36" spans="1:26" ht="24.95" customHeight="1">
      <c r="A36" s="30">
        <v>24</v>
      </c>
      <c r="B36" s="30" t="s">
        <v>123</v>
      </c>
      <c r="C36" s="31" t="s">
        <v>124</v>
      </c>
      <c r="D36" s="71">
        <v>5</v>
      </c>
      <c r="E36" s="71">
        <v>5</v>
      </c>
      <c r="F36" s="68">
        <v>5</v>
      </c>
      <c r="G36" s="62">
        <f>SUM(LARGE(D36:F36,{1,2}))</f>
        <v>10</v>
      </c>
      <c r="H36" s="62">
        <f t="shared" si="0"/>
        <v>5</v>
      </c>
      <c r="I36" s="63">
        <f t="shared" si="1"/>
        <v>5</v>
      </c>
      <c r="J36" s="68">
        <v>24</v>
      </c>
      <c r="K36" s="68">
        <v>23</v>
      </c>
      <c r="L36" s="69">
        <v>25</v>
      </c>
      <c r="M36" s="62">
        <f>SUM(LARGE(J36:L36,{1,2}))</f>
        <v>49</v>
      </c>
      <c r="N36" s="62">
        <f t="shared" si="2"/>
        <v>4.9000000000000004</v>
      </c>
      <c r="O36" s="63">
        <f t="shared" si="3"/>
        <v>5</v>
      </c>
      <c r="P36" s="63">
        <v>5</v>
      </c>
      <c r="Q36" s="68">
        <v>90</v>
      </c>
      <c r="R36" s="64">
        <f t="shared" si="4"/>
        <v>4</v>
      </c>
      <c r="S36" s="65">
        <f t="shared" si="5"/>
        <v>19</v>
      </c>
      <c r="T36" s="68">
        <v>70</v>
      </c>
      <c r="U36" s="69">
        <v>66</v>
      </c>
      <c r="V36" s="68">
        <v>88</v>
      </c>
      <c r="W36" s="62">
        <f>SUM(LARGE(T36:V36,{1,2}))</f>
        <v>158</v>
      </c>
      <c r="X36" s="62">
        <f t="shared" si="6"/>
        <v>15.8</v>
      </c>
      <c r="Y36" s="66">
        <f t="shared" si="7"/>
        <v>16</v>
      </c>
      <c r="Z36" s="67">
        <f t="shared" si="8"/>
        <v>35</v>
      </c>
    </row>
    <row r="37" spans="1:26" ht="24.95" customHeight="1">
      <c r="A37" s="30">
        <v>25</v>
      </c>
      <c r="B37" s="30" t="s">
        <v>125</v>
      </c>
      <c r="C37" s="31" t="s">
        <v>126</v>
      </c>
      <c r="D37" s="71">
        <v>5</v>
      </c>
      <c r="E37" s="71">
        <v>5</v>
      </c>
      <c r="F37" s="68">
        <v>5</v>
      </c>
      <c r="G37" s="62">
        <f>SUM(LARGE(D37:F37,{1,2}))</f>
        <v>10</v>
      </c>
      <c r="H37" s="62">
        <f t="shared" si="0"/>
        <v>5</v>
      </c>
      <c r="I37" s="63">
        <f t="shared" si="1"/>
        <v>5</v>
      </c>
      <c r="J37" s="68">
        <v>24</v>
      </c>
      <c r="K37" s="68">
        <v>23</v>
      </c>
      <c r="L37" s="69">
        <v>25</v>
      </c>
      <c r="M37" s="62">
        <f>SUM(LARGE(J37:L37,{1,2}))</f>
        <v>49</v>
      </c>
      <c r="N37" s="62">
        <f t="shared" si="2"/>
        <v>4.9000000000000004</v>
      </c>
      <c r="O37" s="63">
        <f t="shared" si="3"/>
        <v>5</v>
      </c>
      <c r="P37" s="63">
        <v>5</v>
      </c>
      <c r="Q37" s="68">
        <v>90</v>
      </c>
      <c r="R37" s="64">
        <f t="shared" si="4"/>
        <v>4</v>
      </c>
      <c r="S37" s="65">
        <f t="shared" si="5"/>
        <v>19</v>
      </c>
      <c r="T37" s="68">
        <v>48</v>
      </c>
      <c r="U37" s="69">
        <v>42</v>
      </c>
      <c r="V37" s="68">
        <v>60</v>
      </c>
      <c r="W37" s="62">
        <f>SUM(LARGE(T37:V37,{1,2}))</f>
        <v>108</v>
      </c>
      <c r="X37" s="62">
        <f t="shared" si="6"/>
        <v>10.8</v>
      </c>
      <c r="Y37" s="66">
        <f t="shared" si="7"/>
        <v>11</v>
      </c>
      <c r="Z37" s="67">
        <f t="shared" si="8"/>
        <v>30</v>
      </c>
    </row>
    <row r="38" spans="1:26" ht="24.95" customHeight="1">
      <c r="A38" s="30">
        <v>26</v>
      </c>
      <c r="B38" s="30" t="s">
        <v>127</v>
      </c>
      <c r="C38" s="31" t="s">
        <v>128</v>
      </c>
      <c r="D38" s="71">
        <v>5</v>
      </c>
      <c r="E38" s="71">
        <v>5</v>
      </c>
      <c r="F38" s="68">
        <v>5</v>
      </c>
      <c r="G38" s="62">
        <f>SUM(LARGE(D38:F38,{1,2}))</f>
        <v>10</v>
      </c>
      <c r="H38" s="62">
        <f t="shared" si="0"/>
        <v>5</v>
      </c>
      <c r="I38" s="63">
        <f t="shared" si="1"/>
        <v>5</v>
      </c>
      <c r="J38" s="68">
        <v>24</v>
      </c>
      <c r="K38" s="68">
        <v>18</v>
      </c>
      <c r="L38" s="69">
        <v>25</v>
      </c>
      <c r="M38" s="62">
        <f>SUM(LARGE(J38:L38,{1,2}))</f>
        <v>49</v>
      </c>
      <c r="N38" s="62">
        <f t="shared" si="2"/>
        <v>4.9000000000000004</v>
      </c>
      <c r="O38" s="63">
        <f t="shared" si="3"/>
        <v>5</v>
      </c>
      <c r="P38" s="63">
        <v>5</v>
      </c>
      <c r="Q38" s="68">
        <v>84</v>
      </c>
      <c r="R38" s="64">
        <f t="shared" si="4"/>
        <v>2</v>
      </c>
      <c r="S38" s="65">
        <f t="shared" si="5"/>
        <v>17</v>
      </c>
      <c r="T38" s="68">
        <v>40</v>
      </c>
      <c r="U38" s="69">
        <v>40</v>
      </c>
      <c r="V38" s="68">
        <v>5</v>
      </c>
      <c r="W38" s="62">
        <f>SUM(LARGE(T38:V38,{1,2}))</f>
        <v>80</v>
      </c>
      <c r="X38" s="62">
        <f t="shared" si="6"/>
        <v>8</v>
      </c>
      <c r="Y38" s="66">
        <f t="shared" si="7"/>
        <v>8</v>
      </c>
      <c r="Z38" s="67">
        <f t="shared" si="8"/>
        <v>25</v>
      </c>
    </row>
    <row r="39" spans="1:26" ht="24.95" customHeight="1">
      <c r="A39" s="30">
        <v>27</v>
      </c>
      <c r="B39" s="30" t="s">
        <v>129</v>
      </c>
      <c r="C39" s="31" t="s">
        <v>130</v>
      </c>
      <c r="D39" s="71">
        <v>5</v>
      </c>
      <c r="E39" s="71">
        <v>5</v>
      </c>
      <c r="F39" s="68">
        <v>5</v>
      </c>
      <c r="G39" s="62">
        <f>SUM(LARGE(D39:F39,{1,2}))</f>
        <v>10</v>
      </c>
      <c r="H39" s="62">
        <f t="shared" si="0"/>
        <v>5</v>
      </c>
      <c r="I39" s="63">
        <f t="shared" si="1"/>
        <v>5</v>
      </c>
      <c r="J39" s="68">
        <v>24</v>
      </c>
      <c r="K39" s="68">
        <v>20</v>
      </c>
      <c r="L39" s="69">
        <v>25</v>
      </c>
      <c r="M39" s="62">
        <f>SUM(LARGE(J39:L39,{1,2}))</f>
        <v>49</v>
      </c>
      <c r="N39" s="62">
        <f t="shared" si="2"/>
        <v>4.9000000000000004</v>
      </c>
      <c r="O39" s="63">
        <f t="shared" si="3"/>
        <v>5</v>
      </c>
      <c r="P39" s="63">
        <v>5</v>
      </c>
      <c r="Q39" s="68">
        <v>86</v>
      </c>
      <c r="R39" s="64">
        <f t="shared" si="4"/>
        <v>3</v>
      </c>
      <c r="S39" s="65">
        <f t="shared" si="5"/>
        <v>18</v>
      </c>
      <c r="T39" s="68">
        <v>48</v>
      </c>
      <c r="U39" s="69">
        <v>24</v>
      </c>
      <c r="V39" s="68">
        <v>43</v>
      </c>
      <c r="W39" s="62">
        <f>SUM(LARGE(T39:V39,{1,2}))</f>
        <v>91</v>
      </c>
      <c r="X39" s="62">
        <f t="shared" si="6"/>
        <v>9.1</v>
      </c>
      <c r="Y39" s="66">
        <f t="shared" si="7"/>
        <v>10</v>
      </c>
      <c r="Z39" s="67">
        <f t="shared" si="8"/>
        <v>28</v>
      </c>
    </row>
    <row r="40" spans="1:26" ht="24.95" customHeight="1">
      <c r="A40" s="30">
        <v>28</v>
      </c>
      <c r="B40" s="30" t="s">
        <v>131</v>
      </c>
      <c r="C40" s="31" t="s">
        <v>132</v>
      </c>
      <c r="D40" s="71">
        <v>5</v>
      </c>
      <c r="E40" s="71">
        <v>5</v>
      </c>
      <c r="F40" s="68">
        <v>5</v>
      </c>
      <c r="G40" s="62">
        <f>SUM(LARGE(D40:F40,{1,2}))</f>
        <v>10</v>
      </c>
      <c r="H40" s="62">
        <f t="shared" si="0"/>
        <v>5</v>
      </c>
      <c r="I40" s="63">
        <f t="shared" si="1"/>
        <v>5</v>
      </c>
      <c r="J40" s="68">
        <v>25</v>
      </c>
      <c r="K40" s="68">
        <v>25</v>
      </c>
      <c r="L40" s="69">
        <v>25</v>
      </c>
      <c r="M40" s="62">
        <f>SUM(LARGE(J40:L40,{1,2}))</f>
        <v>50</v>
      </c>
      <c r="N40" s="62">
        <f t="shared" si="2"/>
        <v>5</v>
      </c>
      <c r="O40" s="63">
        <f t="shared" si="3"/>
        <v>5</v>
      </c>
      <c r="P40" s="63">
        <v>5</v>
      </c>
      <c r="Q40" s="68">
        <v>83</v>
      </c>
      <c r="R40" s="64">
        <f t="shared" si="4"/>
        <v>2</v>
      </c>
      <c r="S40" s="65">
        <f t="shared" si="5"/>
        <v>17</v>
      </c>
      <c r="T40" s="68">
        <v>74</v>
      </c>
      <c r="U40" s="69">
        <v>92</v>
      </c>
      <c r="V40" s="68">
        <v>93</v>
      </c>
      <c r="W40" s="62">
        <f>SUM(LARGE(T40:V40,{1,2}))</f>
        <v>185</v>
      </c>
      <c r="X40" s="62">
        <f t="shared" si="6"/>
        <v>18.5</v>
      </c>
      <c r="Y40" s="66">
        <f t="shared" si="7"/>
        <v>19</v>
      </c>
      <c r="Z40" s="67">
        <f t="shared" si="8"/>
        <v>36</v>
      </c>
    </row>
    <row r="41" spans="1:26" ht="24.95" customHeight="1">
      <c r="A41" s="30">
        <v>29</v>
      </c>
      <c r="B41" s="30" t="s">
        <v>133</v>
      </c>
      <c r="C41" s="31" t="s">
        <v>134</v>
      </c>
      <c r="D41" s="71">
        <v>5</v>
      </c>
      <c r="E41" s="71">
        <v>5</v>
      </c>
      <c r="F41" s="68">
        <v>5</v>
      </c>
      <c r="G41" s="62">
        <f>SUM(LARGE(D41:F41,{1,2}))</f>
        <v>10</v>
      </c>
      <c r="H41" s="62">
        <f t="shared" si="0"/>
        <v>5</v>
      </c>
      <c r="I41" s="63">
        <f t="shared" si="1"/>
        <v>5</v>
      </c>
      <c r="J41" s="68">
        <v>24</v>
      </c>
      <c r="K41" s="68">
        <v>25</v>
      </c>
      <c r="L41" s="69">
        <v>25</v>
      </c>
      <c r="M41" s="62">
        <f>SUM(LARGE(J41:L41,{1,2}))</f>
        <v>50</v>
      </c>
      <c r="N41" s="62">
        <f t="shared" si="2"/>
        <v>5</v>
      </c>
      <c r="O41" s="63">
        <f t="shared" si="3"/>
        <v>5</v>
      </c>
      <c r="P41" s="63">
        <v>5</v>
      </c>
      <c r="Q41" s="68">
        <v>84</v>
      </c>
      <c r="R41" s="64">
        <f t="shared" si="4"/>
        <v>2</v>
      </c>
      <c r="S41" s="65">
        <f t="shared" si="5"/>
        <v>17</v>
      </c>
      <c r="T41" s="68">
        <v>36</v>
      </c>
      <c r="U41" s="69">
        <v>82</v>
      </c>
      <c r="V41" s="68">
        <v>58</v>
      </c>
      <c r="W41" s="62">
        <f>SUM(LARGE(T41:V41,{1,2}))</f>
        <v>140</v>
      </c>
      <c r="X41" s="62">
        <f t="shared" si="6"/>
        <v>14</v>
      </c>
      <c r="Y41" s="66">
        <f t="shared" si="7"/>
        <v>14</v>
      </c>
      <c r="Z41" s="67">
        <f t="shared" si="8"/>
        <v>31</v>
      </c>
    </row>
    <row r="42" spans="1:26" ht="24.95" customHeight="1">
      <c r="A42" s="30">
        <v>30</v>
      </c>
      <c r="B42" s="30" t="s">
        <v>135</v>
      </c>
      <c r="C42" s="31" t="s">
        <v>136</v>
      </c>
      <c r="D42" s="71">
        <v>5</v>
      </c>
      <c r="E42" s="71">
        <v>5</v>
      </c>
      <c r="F42" s="68">
        <v>5</v>
      </c>
      <c r="G42" s="62">
        <f>SUM(LARGE(D42:F42,{1,2}))</f>
        <v>10</v>
      </c>
      <c r="H42" s="62">
        <f t="shared" si="0"/>
        <v>5</v>
      </c>
      <c r="I42" s="63">
        <f t="shared" si="1"/>
        <v>5</v>
      </c>
      <c r="J42" s="68">
        <v>25</v>
      </c>
      <c r="K42" s="68">
        <v>25</v>
      </c>
      <c r="L42" s="69">
        <v>25</v>
      </c>
      <c r="M42" s="62">
        <f>SUM(LARGE(J42:L42,{1,2}))</f>
        <v>50</v>
      </c>
      <c r="N42" s="62">
        <f t="shared" si="2"/>
        <v>5</v>
      </c>
      <c r="O42" s="63">
        <f t="shared" si="3"/>
        <v>5</v>
      </c>
      <c r="P42" s="63">
        <v>5</v>
      </c>
      <c r="Q42" s="68">
        <v>96</v>
      </c>
      <c r="R42" s="64">
        <f t="shared" si="4"/>
        <v>5</v>
      </c>
      <c r="S42" s="65">
        <f t="shared" si="5"/>
        <v>20</v>
      </c>
      <c r="T42" s="68">
        <v>76</v>
      </c>
      <c r="U42" s="69">
        <v>98</v>
      </c>
      <c r="V42" s="68">
        <v>95</v>
      </c>
      <c r="W42" s="62">
        <f>SUM(LARGE(T42:V42,{1,2}))</f>
        <v>193</v>
      </c>
      <c r="X42" s="62">
        <f t="shared" si="6"/>
        <v>19.3</v>
      </c>
      <c r="Y42" s="66">
        <f t="shared" si="7"/>
        <v>20</v>
      </c>
      <c r="Z42" s="67">
        <f t="shared" si="8"/>
        <v>40</v>
      </c>
    </row>
    <row r="43" spans="1:26" ht="24.95" customHeight="1">
      <c r="A43" s="30">
        <v>31</v>
      </c>
      <c r="B43" s="30" t="s">
        <v>137</v>
      </c>
      <c r="C43" s="31" t="s">
        <v>138</v>
      </c>
      <c r="D43" s="71">
        <v>5</v>
      </c>
      <c r="E43" s="71">
        <v>5</v>
      </c>
      <c r="F43" s="68">
        <v>5</v>
      </c>
      <c r="G43" s="62">
        <f>SUM(LARGE(D43:F43,{1,2}))</f>
        <v>10</v>
      </c>
      <c r="H43" s="62">
        <f t="shared" si="0"/>
        <v>5</v>
      </c>
      <c r="I43" s="63">
        <f t="shared" si="1"/>
        <v>5</v>
      </c>
      <c r="J43" s="68">
        <v>25</v>
      </c>
      <c r="K43" s="68">
        <v>25</v>
      </c>
      <c r="L43" s="69">
        <v>25</v>
      </c>
      <c r="M43" s="62">
        <f>SUM(LARGE(J43:L43,{1,2}))</f>
        <v>50</v>
      </c>
      <c r="N43" s="62">
        <f t="shared" si="2"/>
        <v>5</v>
      </c>
      <c r="O43" s="63">
        <f t="shared" si="3"/>
        <v>5</v>
      </c>
      <c r="P43" s="63">
        <v>5</v>
      </c>
      <c r="Q43" s="68">
        <v>87</v>
      </c>
      <c r="R43" s="64">
        <f t="shared" si="4"/>
        <v>3</v>
      </c>
      <c r="S43" s="65">
        <f t="shared" si="5"/>
        <v>18</v>
      </c>
      <c r="T43" s="68">
        <v>58</v>
      </c>
      <c r="U43" s="69">
        <v>94</v>
      </c>
      <c r="V43" s="68">
        <v>88</v>
      </c>
      <c r="W43" s="62">
        <f>SUM(LARGE(T43:V43,{1,2}))</f>
        <v>182</v>
      </c>
      <c r="X43" s="62">
        <f t="shared" si="6"/>
        <v>18.2</v>
      </c>
      <c r="Y43" s="66">
        <f t="shared" si="7"/>
        <v>19</v>
      </c>
      <c r="Z43" s="67">
        <f t="shared" si="8"/>
        <v>37</v>
      </c>
    </row>
    <row r="44" spans="1:26" ht="24.95" customHeight="1">
      <c r="A44" s="30">
        <v>32</v>
      </c>
      <c r="B44" s="30" t="s">
        <v>139</v>
      </c>
      <c r="C44" s="31" t="s">
        <v>140</v>
      </c>
      <c r="D44" s="71">
        <v>5</v>
      </c>
      <c r="E44" s="71">
        <v>5</v>
      </c>
      <c r="F44" s="68">
        <v>5</v>
      </c>
      <c r="G44" s="62">
        <f>SUM(LARGE(D44:F44,{1,2}))</f>
        <v>10</v>
      </c>
      <c r="H44" s="62">
        <f t="shared" si="0"/>
        <v>5</v>
      </c>
      <c r="I44" s="63">
        <f t="shared" si="1"/>
        <v>5</v>
      </c>
      <c r="J44" s="68">
        <v>25</v>
      </c>
      <c r="K44" s="68">
        <v>25</v>
      </c>
      <c r="L44" s="69">
        <v>25</v>
      </c>
      <c r="M44" s="62">
        <f>SUM(LARGE(J44:L44,{1,2}))</f>
        <v>50</v>
      </c>
      <c r="N44" s="62">
        <f t="shared" si="2"/>
        <v>5</v>
      </c>
      <c r="O44" s="63">
        <f t="shared" si="3"/>
        <v>5</v>
      </c>
      <c r="P44" s="63">
        <v>5</v>
      </c>
      <c r="Q44" s="68">
        <v>93</v>
      </c>
      <c r="R44" s="64">
        <f t="shared" si="4"/>
        <v>4</v>
      </c>
      <c r="S44" s="65">
        <f t="shared" si="5"/>
        <v>19</v>
      </c>
      <c r="T44" s="68">
        <v>40</v>
      </c>
      <c r="U44" s="69">
        <v>98</v>
      </c>
      <c r="V44" s="68">
        <v>95</v>
      </c>
      <c r="W44" s="62">
        <f>SUM(LARGE(T44:V44,{1,2}))</f>
        <v>193</v>
      </c>
      <c r="X44" s="62">
        <f t="shared" si="6"/>
        <v>19.3</v>
      </c>
      <c r="Y44" s="66">
        <f t="shared" si="7"/>
        <v>20</v>
      </c>
      <c r="Z44" s="67">
        <f t="shared" si="8"/>
        <v>39</v>
      </c>
    </row>
    <row r="45" spans="1:26" ht="24.95" customHeight="1">
      <c r="A45" s="30">
        <v>33</v>
      </c>
      <c r="B45" s="30" t="s">
        <v>141</v>
      </c>
      <c r="C45" s="35" t="s">
        <v>142</v>
      </c>
      <c r="D45" s="71">
        <v>5</v>
      </c>
      <c r="E45" s="71">
        <v>5</v>
      </c>
      <c r="F45" s="68">
        <v>5</v>
      </c>
      <c r="G45" s="62">
        <f>SUM(LARGE(D45:F45,{1,2}))</f>
        <v>10</v>
      </c>
      <c r="H45" s="62">
        <f t="shared" si="0"/>
        <v>5</v>
      </c>
      <c r="I45" s="63">
        <f t="shared" si="1"/>
        <v>5</v>
      </c>
      <c r="J45" s="68">
        <v>25</v>
      </c>
      <c r="K45" s="68">
        <v>23</v>
      </c>
      <c r="L45" s="69">
        <v>25</v>
      </c>
      <c r="M45" s="62">
        <f>SUM(LARGE(J45:L45,{1,2}))</f>
        <v>50</v>
      </c>
      <c r="N45" s="62">
        <f t="shared" si="2"/>
        <v>5</v>
      </c>
      <c r="O45" s="63">
        <f t="shared" si="3"/>
        <v>5</v>
      </c>
      <c r="P45" s="63">
        <v>5</v>
      </c>
      <c r="Q45" s="68">
        <v>88</v>
      </c>
      <c r="R45" s="64">
        <f t="shared" si="4"/>
        <v>3</v>
      </c>
      <c r="S45" s="65">
        <f t="shared" si="5"/>
        <v>18</v>
      </c>
      <c r="T45" s="68">
        <v>56</v>
      </c>
      <c r="U45" s="69">
        <v>64</v>
      </c>
      <c r="V45" s="68" t="s">
        <v>177</v>
      </c>
      <c r="W45" s="62">
        <f>SUM(LARGE(T45:V45,{1,2}))</f>
        <v>120</v>
      </c>
      <c r="X45" s="62">
        <f t="shared" si="6"/>
        <v>12</v>
      </c>
      <c r="Y45" s="66">
        <f t="shared" si="7"/>
        <v>12</v>
      </c>
      <c r="Z45" s="67">
        <f t="shared" si="8"/>
        <v>30</v>
      </c>
    </row>
    <row r="46" spans="1:26" ht="24.95" customHeight="1">
      <c r="A46" s="30">
        <v>34</v>
      </c>
      <c r="B46" s="30" t="s">
        <v>143</v>
      </c>
      <c r="C46" s="31" t="s">
        <v>144</v>
      </c>
      <c r="D46" s="71">
        <v>5</v>
      </c>
      <c r="E46" s="71">
        <v>5</v>
      </c>
      <c r="F46" s="68">
        <v>5</v>
      </c>
      <c r="G46" s="62">
        <f>SUM(LARGE(D46:F46,{1,2}))</f>
        <v>10</v>
      </c>
      <c r="H46" s="62">
        <f t="shared" si="0"/>
        <v>5</v>
      </c>
      <c r="I46" s="63">
        <f t="shared" si="1"/>
        <v>5</v>
      </c>
      <c r="J46" s="68">
        <v>25</v>
      </c>
      <c r="K46" s="68">
        <v>25</v>
      </c>
      <c r="L46" s="69">
        <v>25</v>
      </c>
      <c r="M46" s="62">
        <f>SUM(LARGE(J46:L46,{1,2}))</f>
        <v>50</v>
      </c>
      <c r="N46" s="62">
        <f t="shared" si="2"/>
        <v>5</v>
      </c>
      <c r="O46" s="63">
        <f t="shared" si="3"/>
        <v>5</v>
      </c>
      <c r="P46" s="63">
        <v>5</v>
      </c>
      <c r="Q46" s="68">
        <v>92</v>
      </c>
      <c r="R46" s="64">
        <f t="shared" si="4"/>
        <v>4</v>
      </c>
      <c r="S46" s="65">
        <f t="shared" si="5"/>
        <v>19</v>
      </c>
      <c r="T46" s="68">
        <v>66</v>
      </c>
      <c r="U46" s="69">
        <v>94</v>
      </c>
      <c r="V46" s="68">
        <v>83</v>
      </c>
      <c r="W46" s="62">
        <f>SUM(LARGE(T46:V46,{1,2}))</f>
        <v>177</v>
      </c>
      <c r="X46" s="62">
        <f t="shared" si="6"/>
        <v>17.7</v>
      </c>
      <c r="Y46" s="66">
        <f t="shared" si="7"/>
        <v>18</v>
      </c>
      <c r="Z46" s="67">
        <f t="shared" si="8"/>
        <v>37</v>
      </c>
    </row>
    <row r="47" spans="1:26" ht="24.95" customHeight="1">
      <c r="A47" s="30">
        <v>35</v>
      </c>
      <c r="B47" s="30" t="s">
        <v>145</v>
      </c>
      <c r="C47" s="31" t="s">
        <v>146</v>
      </c>
      <c r="D47" s="71">
        <v>5</v>
      </c>
      <c r="E47" s="71">
        <v>5</v>
      </c>
      <c r="F47" s="68">
        <v>5</v>
      </c>
      <c r="G47" s="62">
        <f>SUM(LARGE(D47:F47,{1,2}))</f>
        <v>10</v>
      </c>
      <c r="H47" s="62">
        <f t="shared" si="0"/>
        <v>5</v>
      </c>
      <c r="I47" s="63">
        <f t="shared" si="1"/>
        <v>5</v>
      </c>
      <c r="J47" s="68">
        <v>24</v>
      </c>
      <c r="K47" s="68">
        <v>24</v>
      </c>
      <c r="L47" s="69">
        <v>25</v>
      </c>
      <c r="M47" s="62">
        <f>SUM(LARGE(J47:L47,{1,2}))</f>
        <v>49</v>
      </c>
      <c r="N47" s="62">
        <f t="shared" si="2"/>
        <v>4.9000000000000004</v>
      </c>
      <c r="O47" s="63">
        <f t="shared" si="3"/>
        <v>5</v>
      </c>
      <c r="P47" s="63">
        <v>5</v>
      </c>
      <c r="Q47" s="68">
        <v>99</v>
      </c>
      <c r="R47" s="64">
        <f t="shared" si="4"/>
        <v>5</v>
      </c>
      <c r="S47" s="65">
        <f t="shared" si="5"/>
        <v>20</v>
      </c>
      <c r="T47" s="68">
        <v>40</v>
      </c>
      <c r="U47" s="69">
        <v>68</v>
      </c>
      <c r="V47" s="68">
        <v>68</v>
      </c>
      <c r="W47" s="62">
        <f>SUM(LARGE(T47:V47,{1,2}))</f>
        <v>136</v>
      </c>
      <c r="X47" s="62">
        <f t="shared" si="6"/>
        <v>13.6</v>
      </c>
      <c r="Y47" s="66">
        <f t="shared" si="7"/>
        <v>14</v>
      </c>
      <c r="Z47" s="67">
        <f t="shared" si="8"/>
        <v>34</v>
      </c>
    </row>
    <row r="48" spans="1:26" ht="24.95" customHeight="1">
      <c r="A48" s="30">
        <v>36</v>
      </c>
      <c r="B48" s="30" t="s">
        <v>147</v>
      </c>
      <c r="C48" s="31" t="s">
        <v>148</v>
      </c>
      <c r="D48" s="71">
        <v>5</v>
      </c>
      <c r="E48" s="71">
        <v>5</v>
      </c>
      <c r="F48" s="68">
        <v>5</v>
      </c>
      <c r="G48" s="62">
        <f>SUM(LARGE(D48:F48,{1,2}))</f>
        <v>10</v>
      </c>
      <c r="H48" s="62">
        <f t="shared" si="0"/>
        <v>5</v>
      </c>
      <c r="I48" s="63">
        <f t="shared" si="1"/>
        <v>5</v>
      </c>
      <c r="J48" s="68">
        <v>24</v>
      </c>
      <c r="K48" s="68" t="s">
        <v>177</v>
      </c>
      <c r="L48" s="69">
        <v>25</v>
      </c>
      <c r="M48" s="62">
        <f>SUM(LARGE(J48:L48,{1,2}))</f>
        <v>49</v>
      </c>
      <c r="N48" s="62">
        <f t="shared" si="2"/>
        <v>4.9000000000000004</v>
      </c>
      <c r="O48" s="63">
        <f t="shared" si="3"/>
        <v>5</v>
      </c>
      <c r="P48" s="63">
        <v>5</v>
      </c>
      <c r="Q48" s="68">
        <v>80</v>
      </c>
      <c r="R48" s="64">
        <f t="shared" si="4"/>
        <v>2</v>
      </c>
      <c r="S48" s="65">
        <f t="shared" si="5"/>
        <v>17</v>
      </c>
      <c r="T48" s="68">
        <v>40</v>
      </c>
      <c r="U48" s="69" t="s">
        <v>177</v>
      </c>
      <c r="V48" s="68">
        <v>40</v>
      </c>
      <c r="W48" s="62">
        <f>SUM(LARGE(T48:V48,{1,2}))</f>
        <v>80</v>
      </c>
      <c r="X48" s="62">
        <f t="shared" si="6"/>
        <v>8</v>
      </c>
      <c r="Y48" s="66">
        <f t="shared" si="7"/>
        <v>8</v>
      </c>
      <c r="Z48" s="67">
        <f t="shared" si="8"/>
        <v>25</v>
      </c>
    </row>
    <row r="49" spans="1:26" ht="24.95" customHeight="1">
      <c r="A49" s="30">
        <v>37</v>
      </c>
      <c r="B49" s="30" t="s">
        <v>149</v>
      </c>
      <c r="C49" s="31" t="s">
        <v>150</v>
      </c>
      <c r="D49" s="71">
        <v>5</v>
      </c>
      <c r="E49" s="71">
        <v>5</v>
      </c>
      <c r="F49" s="68">
        <v>5</v>
      </c>
      <c r="G49" s="62">
        <f>SUM(LARGE(D49:F49,{1,2}))</f>
        <v>10</v>
      </c>
      <c r="H49" s="62">
        <f t="shared" si="0"/>
        <v>5</v>
      </c>
      <c r="I49" s="63">
        <f t="shared" si="1"/>
        <v>5</v>
      </c>
      <c r="J49" s="68">
        <v>24</v>
      </c>
      <c r="K49" s="68">
        <v>24</v>
      </c>
      <c r="L49" s="69">
        <v>25</v>
      </c>
      <c r="M49" s="62">
        <f>SUM(LARGE(J49:L49,{1,2}))</f>
        <v>49</v>
      </c>
      <c r="N49" s="62">
        <f t="shared" si="2"/>
        <v>4.9000000000000004</v>
      </c>
      <c r="O49" s="63">
        <f t="shared" si="3"/>
        <v>5</v>
      </c>
      <c r="P49" s="63">
        <v>5</v>
      </c>
      <c r="Q49" s="68">
        <v>94</v>
      </c>
      <c r="R49" s="64">
        <f t="shared" si="4"/>
        <v>4</v>
      </c>
      <c r="S49" s="65">
        <f t="shared" si="5"/>
        <v>19</v>
      </c>
      <c r="T49" s="68">
        <v>80</v>
      </c>
      <c r="U49" s="69">
        <v>70</v>
      </c>
      <c r="V49" s="68">
        <v>100</v>
      </c>
      <c r="W49" s="62">
        <f>SUM(LARGE(T49:V49,{1,2}))</f>
        <v>180</v>
      </c>
      <c r="X49" s="62">
        <f t="shared" si="6"/>
        <v>18</v>
      </c>
      <c r="Y49" s="66">
        <f t="shared" si="7"/>
        <v>18</v>
      </c>
      <c r="Z49" s="67">
        <f t="shared" si="8"/>
        <v>37</v>
      </c>
    </row>
    <row r="50" spans="1:26" ht="24.95" customHeight="1">
      <c r="A50" s="30">
        <v>38</v>
      </c>
      <c r="B50" s="30" t="s">
        <v>151</v>
      </c>
      <c r="C50" s="31" t="s">
        <v>152</v>
      </c>
      <c r="D50" s="71">
        <v>5</v>
      </c>
      <c r="E50" s="71">
        <v>5</v>
      </c>
      <c r="F50" s="68">
        <v>5</v>
      </c>
      <c r="G50" s="62">
        <f>SUM(LARGE(D50:F50,{1,2}))</f>
        <v>10</v>
      </c>
      <c r="H50" s="62">
        <f t="shared" si="0"/>
        <v>5</v>
      </c>
      <c r="I50" s="63">
        <f t="shared" si="1"/>
        <v>5</v>
      </c>
      <c r="J50" s="68">
        <v>24</v>
      </c>
      <c r="K50" s="68">
        <v>23</v>
      </c>
      <c r="L50" s="69">
        <v>25</v>
      </c>
      <c r="M50" s="62">
        <f>SUM(LARGE(J50:L50,{1,2}))</f>
        <v>49</v>
      </c>
      <c r="N50" s="62">
        <f t="shared" si="2"/>
        <v>4.9000000000000004</v>
      </c>
      <c r="O50" s="63">
        <f t="shared" si="3"/>
        <v>5</v>
      </c>
      <c r="P50" s="63">
        <v>5</v>
      </c>
      <c r="Q50" s="68">
        <v>87</v>
      </c>
      <c r="R50" s="64">
        <f t="shared" si="4"/>
        <v>3</v>
      </c>
      <c r="S50" s="65">
        <f t="shared" si="5"/>
        <v>18</v>
      </c>
      <c r="T50" s="68">
        <v>46</v>
      </c>
      <c r="U50" s="69">
        <v>50</v>
      </c>
      <c r="V50" s="68">
        <v>58</v>
      </c>
      <c r="W50" s="62">
        <f>SUM(LARGE(T50:V50,{1,2}))</f>
        <v>108</v>
      </c>
      <c r="X50" s="62">
        <f t="shared" si="6"/>
        <v>10.8</v>
      </c>
      <c r="Y50" s="66">
        <f t="shared" si="7"/>
        <v>11</v>
      </c>
      <c r="Z50" s="67">
        <f t="shared" si="8"/>
        <v>29</v>
      </c>
    </row>
    <row r="51" spans="1:26" ht="24.95" customHeight="1">
      <c r="A51" s="30">
        <v>39</v>
      </c>
      <c r="B51" s="30" t="s">
        <v>153</v>
      </c>
      <c r="C51" s="31" t="s">
        <v>154</v>
      </c>
      <c r="D51" s="71">
        <v>5</v>
      </c>
      <c r="E51" s="71">
        <v>5</v>
      </c>
      <c r="F51" s="68">
        <v>5</v>
      </c>
      <c r="G51" s="62">
        <f>SUM(LARGE(D51:F51,{1,2}))</f>
        <v>10</v>
      </c>
      <c r="H51" s="62">
        <f t="shared" si="0"/>
        <v>5</v>
      </c>
      <c r="I51" s="63">
        <f t="shared" si="1"/>
        <v>5</v>
      </c>
      <c r="J51" s="68">
        <v>24</v>
      </c>
      <c r="K51" s="68">
        <v>20</v>
      </c>
      <c r="L51" s="69">
        <v>25</v>
      </c>
      <c r="M51" s="62">
        <f>SUM(LARGE(J51:L51,{1,2}))</f>
        <v>49</v>
      </c>
      <c r="N51" s="62">
        <f t="shared" si="2"/>
        <v>4.9000000000000004</v>
      </c>
      <c r="O51" s="63">
        <f t="shared" si="3"/>
        <v>5</v>
      </c>
      <c r="P51" s="63">
        <v>5</v>
      </c>
      <c r="Q51" s="68">
        <v>81</v>
      </c>
      <c r="R51" s="64">
        <f t="shared" si="4"/>
        <v>2</v>
      </c>
      <c r="S51" s="65">
        <f t="shared" si="5"/>
        <v>17</v>
      </c>
      <c r="T51" s="68">
        <v>44</v>
      </c>
      <c r="U51" s="69">
        <v>62</v>
      </c>
      <c r="V51" s="68">
        <v>50</v>
      </c>
      <c r="W51" s="62">
        <f>SUM(LARGE(T51:V51,{1,2}))</f>
        <v>112</v>
      </c>
      <c r="X51" s="62">
        <f t="shared" si="6"/>
        <v>11.2</v>
      </c>
      <c r="Y51" s="66">
        <f t="shared" si="7"/>
        <v>12</v>
      </c>
      <c r="Z51" s="67">
        <f t="shared" si="8"/>
        <v>29</v>
      </c>
    </row>
    <row r="52" spans="1:26" ht="24.95" customHeight="1">
      <c r="A52" s="30">
        <v>40</v>
      </c>
      <c r="B52" s="30" t="s">
        <v>155</v>
      </c>
      <c r="C52" s="31" t="s">
        <v>156</v>
      </c>
      <c r="D52" s="71">
        <v>5</v>
      </c>
      <c r="E52" s="71">
        <v>5</v>
      </c>
      <c r="F52" s="68">
        <v>5</v>
      </c>
      <c r="G52" s="62">
        <f>SUM(LARGE(D52:F52,{1,2}))</f>
        <v>10</v>
      </c>
      <c r="H52" s="62">
        <f t="shared" si="0"/>
        <v>5</v>
      </c>
      <c r="I52" s="63">
        <f t="shared" si="1"/>
        <v>5</v>
      </c>
      <c r="J52" s="68">
        <v>25</v>
      </c>
      <c r="K52" s="68">
        <v>25</v>
      </c>
      <c r="L52" s="69">
        <v>25</v>
      </c>
      <c r="M52" s="62">
        <f>SUM(LARGE(J52:L52,{1,2}))</f>
        <v>50</v>
      </c>
      <c r="N52" s="62">
        <f t="shared" si="2"/>
        <v>5</v>
      </c>
      <c r="O52" s="63">
        <f t="shared" si="3"/>
        <v>5</v>
      </c>
      <c r="P52" s="63">
        <v>5</v>
      </c>
      <c r="Q52" s="68">
        <v>88</v>
      </c>
      <c r="R52" s="64">
        <f t="shared" si="4"/>
        <v>3</v>
      </c>
      <c r="S52" s="65">
        <f t="shared" si="5"/>
        <v>18</v>
      </c>
      <c r="T52" s="68">
        <v>64</v>
      </c>
      <c r="U52" s="69">
        <v>100</v>
      </c>
      <c r="V52" s="68">
        <v>100</v>
      </c>
      <c r="W52" s="62">
        <f>SUM(LARGE(T52:V52,{1,2}))</f>
        <v>200</v>
      </c>
      <c r="X52" s="62">
        <f t="shared" si="6"/>
        <v>20</v>
      </c>
      <c r="Y52" s="66">
        <f t="shared" si="7"/>
        <v>20</v>
      </c>
      <c r="Z52" s="67">
        <f t="shared" si="8"/>
        <v>38</v>
      </c>
    </row>
    <row r="53" spans="1:26" ht="24.95" customHeight="1">
      <c r="A53" s="30">
        <v>41</v>
      </c>
      <c r="B53" s="30" t="s">
        <v>157</v>
      </c>
      <c r="C53" s="31" t="s">
        <v>158</v>
      </c>
      <c r="D53" s="71">
        <v>5</v>
      </c>
      <c r="E53" s="71">
        <v>5</v>
      </c>
      <c r="F53" s="68">
        <v>5</v>
      </c>
      <c r="G53" s="62">
        <f>SUM(LARGE(D53:F53,{1,2}))</f>
        <v>10</v>
      </c>
      <c r="H53" s="62">
        <f t="shared" si="0"/>
        <v>5</v>
      </c>
      <c r="I53" s="63">
        <f t="shared" si="1"/>
        <v>5</v>
      </c>
      <c r="J53" s="68">
        <v>25</v>
      </c>
      <c r="K53" s="68">
        <v>22</v>
      </c>
      <c r="L53" s="69">
        <v>25</v>
      </c>
      <c r="M53" s="62">
        <f>SUM(LARGE(J53:L53,{1,2}))</f>
        <v>50</v>
      </c>
      <c r="N53" s="62">
        <f t="shared" si="2"/>
        <v>5</v>
      </c>
      <c r="O53" s="63">
        <f t="shared" si="3"/>
        <v>5</v>
      </c>
      <c r="P53" s="63">
        <v>5</v>
      </c>
      <c r="Q53" s="68">
        <v>98</v>
      </c>
      <c r="R53" s="64">
        <f t="shared" si="4"/>
        <v>5</v>
      </c>
      <c r="S53" s="65">
        <f t="shared" si="5"/>
        <v>20</v>
      </c>
      <c r="T53" s="68">
        <v>32</v>
      </c>
      <c r="U53" s="69">
        <v>40</v>
      </c>
      <c r="V53" s="68">
        <v>40</v>
      </c>
      <c r="W53" s="62">
        <f>SUM(LARGE(T53:V53,{1,2}))</f>
        <v>80</v>
      </c>
      <c r="X53" s="62">
        <f t="shared" si="6"/>
        <v>8</v>
      </c>
      <c r="Y53" s="66">
        <f t="shared" si="7"/>
        <v>8</v>
      </c>
      <c r="Z53" s="67">
        <f t="shared" si="8"/>
        <v>28</v>
      </c>
    </row>
    <row r="54" spans="1:26" ht="24.95" customHeight="1">
      <c r="A54" s="30">
        <v>42</v>
      </c>
      <c r="B54" s="30" t="s">
        <v>159</v>
      </c>
      <c r="C54" s="31" t="s">
        <v>160</v>
      </c>
      <c r="D54" s="71">
        <v>5</v>
      </c>
      <c r="E54" s="71">
        <v>5</v>
      </c>
      <c r="F54" s="68">
        <v>5</v>
      </c>
      <c r="G54" s="62">
        <f>SUM(LARGE(D54:F54,{1,2}))</f>
        <v>10</v>
      </c>
      <c r="H54" s="62">
        <f t="shared" si="0"/>
        <v>5</v>
      </c>
      <c r="I54" s="63">
        <f t="shared" si="1"/>
        <v>5</v>
      </c>
      <c r="J54" s="68">
        <v>23</v>
      </c>
      <c r="K54" s="68">
        <v>22</v>
      </c>
      <c r="L54" s="69">
        <v>25</v>
      </c>
      <c r="M54" s="62">
        <f>SUM(LARGE(J54:L54,{1,2}))</f>
        <v>48</v>
      </c>
      <c r="N54" s="62">
        <f t="shared" si="2"/>
        <v>4.8</v>
      </c>
      <c r="O54" s="63">
        <f t="shared" si="3"/>
        <v>5</v>
      </c>
      <c r="P54" s="63">
        <v>5</v>
      </c>
      <c r="Q54" s="74">
        <v>76</v>
      </c>
      <c r="R54" s="64">
        <f t="shared" si="4"/>
        <v>1</v>
      </c>
      <c r="S54" s="65">
        <f t="shared" si="5"/>
        <v>16</v>
      </c>
      <c r="T54" s="68">
        <v>34</v>
      </c>
      <c r="U54" s="69">
        <v>46</v>
      </c>
      <c r="V54" s="68">
        <v>43</v>
      </c>
      <c r="W54" s="62">
        <f>SUM(LARGE(T54:V54,{1,2}))</f>
        <v>89</v>
      </c>
      <c r="X54" s="62">
        <f t="shared" si="6"/>
        <v>8.9</v>
      </c>
      <c r="Y54" s="66">
        <f t="shared" si="7"/>
        <v>9</v>
      </c>
      <c r="Z54" s="67">
        <f t="shared" si="8"/>
        <v>25</v>
      </c>
    </row>
    <row r="55" spans="1:26" ht="24.95" customHeight="1">
      <c r="A55" s="30">
        <v>43</v>
      </c>
      <c r="B55" s="30" t="s">
        <v>161</v>
      </c>
      <c r="C55" s="31" t="s">
        <v>162</v>
      </c>
      <c r="D55" s="71">
        <v>5</v>
      </c>
      <c r="E55" s="71">
        <v>5</v>
      </c>
      <c r="F55" s="68">
        <v>5</v>
      </c>
      <c r="G55" s="62">
        <f>SUM(LARGE(D55:F55,{1,2}))</f>
        <v>10</v>
      </c>
      <c r="H55" s="62">
        <f t="shared" si="0"/>
        <v>5</v>
      </c>
      <c r="I55" s="63">
        <f t="shared" si="1"/>
        <v>5</v>
      </c>
      <c r="J55" s="68">
        <v>23</v>
      </c>
      <c r="K55" s="68">
        <v>23</v>
      </c>
      <c r="L55" s="69">
        <v>25</v>
      </c>
      <c r="M55" s="62">
        <f>SUM(LARGE(J55:L55,{1,2}))</f>
        <v>48</v>
      </c>
      <c r="N55" s="62">
        <f t="shared" si="2"/>
        <v>4.8</v>
      </c>
      <c r="O55" s="63">
        <f t="shared" si="3"/>
        <v>5</v>
      </c>
      <c r="P55" s="63">
        <v>5</v>
      </c>
      <c r="Q55" s="68">
        <v>88</v>
      </c>
      <c r="R55" s="64">
        <f t="shared" si="4"/>
        <v>3</v>
      </c>
      <c r="S55" s="65">
        <f t="shared" si="5"/>
        <v>18</v>
      </c>
      <c r="T55" s="68">
        <v>38</v>
      </c>
      <c r="U55" s="69">
        <v>52</v>
      </c>
      <c r="V55" s="68">
        <v>58</v>
      </c>
      <c r="W55" s="62">
        <f>SUM(LARGE(T55:V55,{1,2}))</f>
        <v>110</v>
      </c>
      <c r="X55" s="62">
        <f t="shared" si="6"/>
        <v>11</v>
      </c>
      <c r="Y55" s="66">
        <f t="shared" si="7"/>
        <v>11</v>
      </c>
      <c r="Z55" s="67">
        <f t="shared" si="8"/>
        <v>29</v>
      </c>
    </row>
    <row r="56" spans="1:26" ht="24.95" customHeight="1">
      <c r="A56" s="30">
        <v>44</v>
      </c>
      <c r="B56" s="30" t="s">
        <v>163</v>
      </c>
      <c r="C56" s="31" t="s">
        <v>164</v>
      </c>
      <c r="D56" s="71">
        <v>5</v>
      </c>
      <c r="E56" s="71">
        <v>5</v>
      </c>
      <c r="F56" s="68">
        <v>5</v>
      </c>
      <c r="G56" s="62">
        <f>SUM(LARGE(D56:F56,{1,2}))</f>
        <v>10</v>
      </c>
      <c r="H56" s="62">
        <f t="shared" si="0"/>
        <v>5</v>
      </c>
      <c r="I56" s="63">
        <f t="shared" si="1"/>
        <v>5</v>
      </c>
      <c r="J56" s="68">
        <v>22</v>
      </c>
      <c r="K56" s="68">
        <v>20</v>
      </c>
      <c r="L56" s="69">
        <v>25</v>
      </c>
      <c r="M56" s="62">
        <f>SUM(LARGE(J56:L56,{1,2}))</f>
        <v>47</v>
      </c>
      <c r="N56" s="62">
        <f t="shared" si="2"/>
        <v>4.7</v>
      </c>
      <c r="O56" s="63">
        <f t="shared" si="3"/>
        <v>5</v>
      </c>
      <c r="P56" s="63">
        <v>5</v>
      </c>
      <c r="Q56" s="68">
        <v>87</v>
      </c>
      <c r="R56" s="64">
        <f t="shared" si="4"/>
        <v>3</v>
      </c>
      <c r="S56" s="65">
        <f t="shared" si="5"/>
        <v>18</v>
      </c>
      <c r="T56" s="68">
        <v>40</v>
      </c>
      <c r="U56" s="69">
        <v>46</v>
      </c>
      <c r="V56" s="68">
        <v>50</v>
      </c>
      <c r="W56" s="62">
        <f>SUM(LARGE(T56:V56,{1,2}))</f>
        <v>96</v>
      </c>
      <c r="X56" s="62">
        <f t="shared" si="6"/>
        <v>9.6</v>
      </c>
      <c r="Y56" s="66">
        <f t="shared" si="7"/>
        <v>10</v>
      </c>
      <c r="Z56" s="67">
        <f t="shared" si="8"/>
        <v>28</v>
      </c>
    </row>
    <row r="57" spans="1:26" ht="24.95" customHeight="1">
      <c r="A57" s="30">
        <v>45</v>
      </c>
      <c r="B57" s="30" t="s">
        <v>165</v>
      </c>
      <c r="C57" s="31" t="s">
        <v>166</v>
      </c>
      <c r="D57" s="71">
        <v>5</v>
      </c>
      <c r="E57" s="71">
        <v>5</v>
      </c>
      <c r="F57" s="68">
        <v>5</v>
      </c>
      <c r="G57" s="62">
        <f>SUM(LARGE(D57:F57,{1,2}))</f>
        <v>10</v>
      </c>
      <c r="H57" s="62">
        <f t="shared" si="0"/>
        <v>5</v>
      </c>
      <c r="I57" s="63">
        <f t="shared" si="1"/>
        <v>5</v>
      </c>
      <c r="J57" s="68">
        <v>22</v>
      </c>
      <c r="K57" s="68">
        <v>18</v>
      </c>
      <c r="L57" s="69">
        <v>25</v>
      </c>
      <c r="M57" s="62">
        <f>SUM(LARGE(J57:L57,{1,2}))</f>
        <v>47</v>
      </c>
      <c r="N57" s="62">
        <f t="shared" si="2"/>
        <v>4.7</v>
      </c>
      <c r="O57" s="63">
        <f t="shared" si="3"/>
        <v>5</v>
      </c>
      <c r="P57" s="63">
        <v>5</v>
      </c>
      <c r="Q57" s="68">
        <v>82</v>
      </c>
      <c r="R57" s="64">
        <f t="shared" si="4"/>
        <v>2</v>
      </c>
      <c r="S57" s="65">
        <f t="shared" si="5"/>
        <v>17</v>
      </c>
      <c r="T57" s="68">
        <v>36</v>
      </c>
      <c r="U57" s="69">
        <v>44</v>
      </c>
      <c r="V57" s="68">
        <v>45</v>
      </c>
      <c r="W57" s="62">
        <f>SUM(LARGE(T57:V57,{1,2}))</f>
        <v>89</v>
      </c>
      <c r="X57" s="62">
        <f t="shared" si="6"/>
        <v>8.9</v>
      </c>
      <c r="Y57" s="66">
        <f t="shared" si="7"/>
        <v>9</v>
      </c>
      <c r="Z57" s="67">
        <f t="shared" si="8"/>
        <v>26</v>
      </c>
    </row>
    <row r="58" spans="1:26" ht="24.95" customHeight="1">
      <c r="A58" s="30">
        <v>46</v>
      </c>
      <c r="B58" s="30" t="s">
        <v>167</v>
      </c>
      <c r="C58" s="31" t="s">
        <v>168</v>
      </c>
      <c r="D58" s="71">
        <v>5</v>
      </c>
      <c r="E58" s="71">
        <v>5</v>
      </c>
      <c r="F58" s="68">
        <v>5</v>
      </c>
      <c r="G58" s="62">
        <f>SUM(LARGE(D58:F58,{1,2}))</f>
        <v>10</v>
      </c>
      <c r="H58" s="62">
        <f t="shared" si="0"/>
        <v>5</v>
      </c>
      <c r="I58" s="63">
        <f t="shared" si="1"/>
        <v>5</v>
      </c>
      <c r="J58" s="68">
        <v>22</v>
      </c>
      <c r="K58" s="68">
        <v>20</v>
      </c>
      <c r="L58" s="69">
        <v>25</v>
      </c>
      <c r="M58" s="62">
        <f>SUM(LARGE(J58:L58,{1,2}))</f>
        <v>47</v>
      </c>
      <c r="N58" s="62">
        <f t="shared" si="2"/>
        <v>4.7</v>
      </c>
      <c r="O58" s="63">
        <f t="shared" si="3"/>
        <v>5</v>
      </c>
      <c r="P58" s="63">
        <v>5</v>
      </c>
      <c r="Q58" s="68">
        <v>88</v>
      </c>
      <c r="R58" s="64">
        <f t="shared" si="4"/>
        <v>3</v>
      </c>
      <c r="S58" s="65">
        <f t="shared" si="5"/>
        <v>18</v>
      </c>
      <c r="T58" s="68">
        <v>40</v>
      </c>
      <c r="U58" s="69">
        <v>64</v>
      </c>
      <c r="V58" s="68">
        <v>50</v>
      </c>
      <c r="W58" s="62">
        <f>SUM(LARGE(T58:V58,{1,2}))</f>
        <v>114</v>
      </c>
      <c r="X58" s="62">
        <f t="shared" si="6"/>
        <v>11.4</v>
      </c>
      <c r="Y58" s="66">
        <f t="shared" si="7"/>
        <v>12</v>
      </c>
      <c r="Z58" s="67">
        <f t="shared" si="8"/>
        <v>30</v>
      </c>
    </row>
    <row r="59" spans="1:26" ht="24.95" customHeight="1">
      <c r="A59" s="30">
        <v>47</v>
      </c>
      <c r="B59" s="30" t="s">
        <v>169</v>
      </c>
      <c r="C59" s="31" t="s">
        <v>170</v>
      </c>
      <c r="D59" s="71">
        <v>5</v>
      </c>
      <c r="E59" s="71">
        <v>5</v>
      </c>
      <c r="F59" s="68">
        <v>5</v>
      </c>
      <c r="G59" s="62">
        <f>SUM(LARGE(D59:F59,{1,2}))</f>
        <v>10</v>
      </c>
      <c r="H59" s="62">
        <f t="shared" si="0"/>
        <v>5</v>
      </c>
      <c r="I59" s="63">
        <f t="shared" si="1"/>
        <v>5</v>
      </c>
      <c r="J59" s="68">
        <v>21</v>
      </c>
      <c r="K59" s="68">
        <v>20</v>
      </c>
      <c r="L59" s="69">
        <v>25</v>
      </c>
      <c r="M59" s="62">
        <f>SUM(LARGE(J59:L59,{1,2}))</f>
        <v>46</v>
      </c>
      <c r="N59" s="62">
        <f t="shared" si="2"/>
        <v>4.5999999999999996</v>
      </c>
      <c r="O59" s="63">
        <f t="shared" si="3"/>
        <v>5</v>
      </c>
      <c r="P59" s="63">
        <v>5</v>
      </c>
      <c r="Q59" s="74">
        <v>76</v>
      </c>
      <c r="R59" s="64">
        <f t="shared" si="4"/>
        <v>1</v>
      </c>
      <c r="S59" s="65">
        <f t="shared" si="5"/>
        <v>16</v>
      </c>
      <c r="T59" s="68">
        <v>40</v>
      </c>
      <c r="U59" s="69">
        <v>44</v>
      </c>
      <c r="V59" s="68">
        <v>50</v>
      </c>
      <c r="W59" s="62">
        <f>SUM(LARGE(T59:V59,{1,2}))</f>
        <v>94</v>
      </c>
      <c r="X59" s="62">
        <f t="shared" si="6"/>
        <v>9.4</v>
      </c>
      <c r="Y59" s="66">
        <f t="shared" si="7"/>
        <v>10</v>
      </c>
      <c r="Z59" s="67">
        <f t="shared" si="8"/>
        <v>26</v>
      </c>
    </row>
    <row r="60" spans="1:26" ht="24.95" customHeight="1">
      <c r="A60" s="30">
        <v>48</v>
      </c>
      <c r="B60" s="30" t="s">
        <v>171</v>
      </c>
      <c r="C60" s="31" t="s">
        <v>172</v>
      </c>
      <c r="D60" s="71">
        <v>5</v>
      </c>
      <c r="E60" s="71">
        <v>5</v>
      </c>
      <c r="F60" s="68">
        <v>5</v>
      </c>
      <c r="G60" s="62">
        <f>SUM(LARGE(D60:F60,{1,2}))</f>
        <v>10</v>
      </c>
      <c r="H60" s="62">
        <f t="shared" si="0"/>
        <v>5</v>
      </c>
      <c r="I60" s="63">
        <f t="shared" si="1"/>
        <v>5</v>
      </c>
      <c r="J60" s="68">
        <v>21</v>
      </c>
      <c r="K60" s="68">
        <v>17</v>
      </c>
      <c r="L60" s="69">
        <v>25</v>
      </c>
      <c r="M60" s="62">
        <f>SUM(LARGE(J60:L60,{1,2}))</f>
        <v>46</v>
      </c>
      <c r="N60" s="62">
        <f t="shared" si="2"/>
        <v>4.5999999999999996</v>
      </c>
      <c r="O60" s="63">
        <f t="shared" si="3"/>
        <v>5</v>
      </c>
      <c r="P60" s="63">
        <v>5</v>
      </c>
      <c r="Q60" s="68">
        <v>79</v>
      </c>
      <c r="R60" s="64">
        <f t="shared" si="4"/>
        <v>1</v>
      </c>
      <c r="S60" s="65">
        <f t="shared" si="5"/>
        <v>16</v>
      </c>
      <c r="T60" s="68">
        <v>40</v>
      </c>
      <c r="U60" s="69">
        <v>40</v>
      </c>
      <c r="V60" s="68">
        <v>50</v>
      </c>
      <c r="W60" s="62">
        <f>SUM(LARGE(T60:V60,{1,2}))</f>
        <v>90</v>
      </c>
      <c r="X60" s="62">
        <f t="shared" si="6"/>
        <v>9</v>
      </c>
      <c r="Y60" s="66">
        <f t="shared" si="7"/>
        <v>9</v>
      </c>
      <c r="Z60" s="67">
        <f t="shared" si="8"/>
        <v>25</v>
      </c>
    </row>
    <row r="61" spans="1:26" ht="24.95" customHeight="1">
      <c r="A61" s="30">
        <v>49</v>
      </c>
      <c r="B61" s="30" t="s">
        <v>173</v>
      </c>
      <c r="C61" s="35" t="s">
        <v>176</v>
      </c>
      <c r="D61" s="71">
        <v>5</v>
      </c>
      <c r="E61" s="71">
        <v>5</v>
      </c>
      <c r="F61" s="68">
        <v>5</v>
      </c>
      <c r="G61" s="62">
        <f>SUM(LARGE(D61:F61,{1,2}))</f>
        <v>10</v>
      </c>
      <c r="H61" s="62">
        <f t="shared" si="0"/>
        <v>5</v>
      </c>
      <c r="I61" s="63">
        <f t="shared" si="1"/>
        <v>5</v>
      </c>
      <c r="J61" s="68">
        <v>21</v>
      </c>
      <c r="K61" s="68">
        <v>20</v>
      </c>
      <c r="L61" s="69">
        <v>25</v>
      </c>
      <c r="M61" s="62">
        <f>SUM(LARGE(J61:L61,{1,2}))</f>
        <v>46</v>
      </c>
      <c r="N61" s="62">
        <f t="shared" si="2"/>
        <v>4.5999999999999996</v>
      </c>
      <c r="O61" s="63">
        <f t="shared" si="3"/>
        <v>5</v>
      </c>
      <c r="P61" s="63">
        <v>5</v>
      </c>
      <c r="Q61" s="68">
        <v>90</v>
      </c>
      <c r="R61" s="64">
        <f t="shared" si="4"/>
        <v>4</v>
      </c>
      <c r="S61" s="65">
        <f t="shared" si="5"/>
        <v>19</v>
      </c>
      <c r="T61" s="68">
        <v>50</v>
      </c>
      <c r="U61" s="69">
        <v>46</v>
      </c>
      <c r="V61" s="68">
        <v>48</v>
      </c>
      <c r="W61" s="62">
        <f>SUM(LARGE(T61:V61,{1,2}))</f>
        <v>98</v>
      </c>
      <c r="X61" s="62">
        <f t="shared" si="6"/>
        <v>9.8000000000000007</v>
      </c>
      <c r="Y61" s="66">
        <f t="shared" si="7"/>
        <v>10</v>
      </c>
      <c r="Z61" s="67">
        <f t="shared" si="8"/>
        <v>29</v>
      </c>
    </row>
    <row r="62" spans="1:26" ht="24.95" customHeight="1">
      <c r="A62" s="30">
        <v>50</v>
      </c>
      <c r="B62" s="30" t="s">
        <v>174</v>
      </c>
      <c r="C62" s="31" t="s">
        <v>175</v>
      </c>
      <c r="D62" s="71">
        <v>5</v>
      </c>
      <c r="E62" s="71">
        <v>5</v>
      </c>
      <c r="F62" s="68">
        <v>5</v>
      </c>
      <c r="G62" s="62">
        <f>SUM(LARGE(D62:F62,{1,2}))</f>
        <v>10</v>
      </c>
      <c r="H62" s="62">
        <f t="shared" si="0"/>
        <v>5</v>
      </c>
      <c r="I62" s="63">
        <f t="shared" si="1"/>
        <v>5</v>
      </c>
      <c r="J62" s="68">
        <v>24</v>
      </c>
      <c r="K62" s="68">
        <v>24</v>
      </c>
      <c r="L62" s="69">
        <v>25</v>
      </c>
      <c r="M62" s="62">
        <f>SUM(LARGE(J62:L62,{1,2}))</f>
        <v>49</v>
      </c>
      <c r="N62" s="62">
        <f t="shared" si="2"/>
        <v>4.9000000000000004</v>
      </c>
      <c r="O62" s="63">
        <f t="shared" si="3"/>
        <v>5</v>
      </c>
      <c r="P62" s="63">
        <v>5</v>
      </c>
      <c r="Q62" s="68">
        <v>82</v>
      </c>
      <c r="R62" s="64">
        <f t="shared" si="4"/>
        <v>2</v>
      </c>
      <c r="S62" s="65">
        <f t="shared" si="5"/>
        <v>17</v>
      </c>
      <c r="T62" s="68">
        <v>48</v>
      </c>
      <c r="U62" s="69">
        <v>64</v>
      </c>
      <c r="V62" s="68">
        <v>60</v>
      </c>
      <c r="W62" s="62">
        <f>SUM(LARGE(T62:V62,{1,2}))</f>
        <v>124</v>
      </c>
      <c r="X62" s="62">
        <f t="shared" si="6"/>
        <v>12.4</v>
      </c>
      <c r="Y62" s="66">
        <f t="shared" si="7"/>
        <v>13</v>
      </c>
      <c r="Z62" s="67">
        <f t="shared" si="8"/>
        <v>30</v>
      </c>
    </row>
    <row r="64" spans="1:26" ht="18.75">
      <c r="Z64" s="36"/>
    </row>
    <row r="66" spans="2:23" ht="15.75">
      <c r="B66" s="9" t="s">
        <v>36</v>
      </c>
      <c r="C66" s="10"/>
      <c r="L66" s="15"/>
      <c r="M66" s="9" t="s">
        <v>37</v>
      </c>
      <c r="N66" s="15"/>
      <c r="O66" s="15"/>
      <c r="Q66" s="16"/>
      <c r="W66" s="9" t="s">
        <v>38</v>
      </c>
    </row>
    <row r="67" spans="2:23" ht="15.75">
      <c r="B67" s="11" t="s">
        <v>39</v>
      </c>
      <c r="C67" s="10"/>
      <c r="L67" s="10"/>
      <c r="M67" s="11" t="s">
        <v>40</v>
      </c>
      <c r="N67" s="10"/>
      <c r="O67" s="10"/>
      <c r="Q67" s="16"/>
      <c r="W67" s="11" t="s">
        <v>41</v>
      </c>
    </row>
  </sheetData>
  <mergeCells count="19">
    <mergeCell ref="T9:Z9"/>
    <mergeCell ref="D11:I11"/>
    <mergeCell ref="J11:P11"/>
    <mergeCell ref="Q11:R11"/>
    <mergeCell ref="T11:Y11"/>
    <mergeCell ref="R9:S9"/>
    <mergeCell ref="A9:B9"/>
    <mergeCell ref="D9:G9"/>
    <mergeCell ref="H9:J9"/>
    <mergeCell ref="K9:L9"/>
    <mergeCell ref="M9:Q9"/>
    <mergeCell ref="A6:Z6"/>
    <mergeCell ref="A8:B8"/>
    <mergeCell ref="D8:G8"/>
    <mergeCell ref="H8:J8"/>
    <mergeCell ref="K8:L8"/>
    <mergeCell ref="M8:Q8"/>
    <mergeCell ref="R8:S8"/>
    <mergeCell ref="T8:Z8"/>
  </mergeCells>
  <conditionalFormatting sqref="Z13:Z62 Z64">
    <cfRule type="cellIs" dxfId="4" priority="1" operator="lessThan">
      <formula>24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Width="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opLeftCell="A50" zoomScale="80" zoomScaleNormal="80" workbookViewId="0">
      <selection activeCell="Z64" sqref="Z64"/>
    </sheetView>
  </sheetViews>
  <sheetFormatPr defaultColWidth="9" defaultRowHeight="15"/>
  <cols>
    <col min="1" max="1" width="6.28515625" customWidth="1"/>
    <col min="2" max="2" width="21.28515625" customWidth="1"/>
    <col min="3" max="3" width="25.5703125" customWidth="1"/>
    <col min="4" max="4" width="6.140625" customWidth="1"/>
    <col min="5" max="5" width="5.85546875" customWidth="1"/>
    <col min="6" max="6" width="6.28515625" customWidth="1"/>
    <col min="7" max="7" width="6.7109375" customWidth="1"/>
    <col min="8" max="8" width="6.28515625" customWidth="1"/>
    <col min="9" max="9" width="8" customWidth="1"/>
    <col min="10" max="11" width="7.140625" customWidth="1"/>
    <col min="12" max="14" width="6.7109375" customWidth="1"/>
    <col min="15" max="16" width="7.5703125" customWidth="1"/>
    <col min="17" max="17" width="8.28515625" customWidth="1"/>
    <col min="18" max="18" width="8.7109375" customWidth="1"/>
    <col min="19" max="19" width="9" customWidth="1"/>
    <col min="20" max="20" width="6.7109375" customWidth="1"/>
    <col min="21" max="21" width="6.5703125" customWidth="1"/>
    <col min="22" max="22" width="6.7109375" customWidth="1"/>
    <col min="23" max="23" width="7.28515625" customWidth="1"/>
    <col min="24" max="24" width="9.7109375" customWidth="1"/>
    <col min="25" max="25" width="7.5703125" customWidth="1"/>
    <col min="26" max="26" width="8.85546875" customWidth="1"/>
  </cols>
  <sheetData>
    <row r="1" spans="1:26">
      <c r="I1" s="13"/>
      <c r="R1" s="16"/>
    </row>
    <row r="2" spans="1:26">
      <c r="I2" s="13"/>
      <c r="R2" s="16"/>
    </row>
    <row r="3" spans="1:26">
      <c r="I3" s="13"/>
      <c r="R3" s="16"/>
    </row>
    <row r="4" spans="1:26">
      <c r="I4" s="13"/>
      <c r="R4" s="16"/>
    </row>
    <row r="5" spans="1:26">
      <c r="I5" s="13"/>
      <c r="R5" s="16"/>
    </row>
    <row r="6" spans="1:26" ht="15.75">
      <c r="A6" s="84" t="s">
        <v>0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6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87" t="s">
        <v>1</v>
      </c>
      <c r="B8" s="88"/>
      <c r="C8" s="29" t="s">
        <v>55</v>
      </c>
      <c r="D8" s="87" t="s">
        <v>2</v>
      </c>
      <c r="E8" s="88"/>
      <c r="F8" s="88"/>
      <c r="G8" s="88"/>
      <c r="H8" s="89" t="s">
        <v>73</v>
      </c>
      <c r="I8" s="89"/>
      <c r="J8" s="90"/>
      <c r="K8" s="87" t="s">
        <v>3</v>
      </c>
      <c r="L8" s="88"/>
      <c r="M8" s="89" t="s">
        <v>4</v>
      </c>
      <c r="N8" s="89"/>
      <c r="O8" s="89"/>
      <c r="P8" s="89"/>
      <c r="Q8" s="90"/>
      <c r="R8" s="91" t="s">
        <v>5</v>
      </c>
      <c r="S8" s="91"/>
      <c r="T8" s="92" t="s">
        <v>191</v>
      </c>
      <c r="U8" s="91"/>
      <c r="V8" s="91"/>
      <c r="W8" s="91"/>
      <c r="X8" s="91"/>
      <c r="Y8" s="91"/>
      <c r="Z8" s="93"/>
    </row>
    <row r="9" spans="1:26" ht="15.75">
      <c r="A9" s="94" t="s">
        <v>6</v>
      </c>
      <c r="B9" s="95"/>
      <c r="C9" s="29" t="s">
        <v>72</v>
      </c>
      <c r="D9" s="87" t="s">
        <v>7</v>
      </c>
      <c r="E9" s="88"/>
      <c r="F9" s="88"/>
      <c r="G9" s="88"/>
      <c r="H9" s="89" t="s">
        <v>74</v>
      </c>
      <c r="I9" s="89"/>
      <c r="J9" s="90"/>
      <c r="K9" s="95" t="s">
        <v>8</v>
      </c>
      <c r="L9" s="95"/>
      <c r="M9" s="96" t="s">
        <v>75</v>
      </c>
      <c r="N9" s="96"/>
      <c r="O9" s="96"/>
      <c r="P9" s="96"/>
      <c r="Q9" s="96"/>
      <c r="R9" s="87" t="s">
        <v>9</v>
      </c>
      <c r="S9" s="88"/>
      <c r="T9" s="97" t="s">
        <v>190</v>
      </c>
      <c r="U9" s="88"/>
      <c r="V9" s="88"/>
      <c r="W9" s="88"/>
      <c r="X9" s="88"/>
      <c r="Y9" s="88"/>
      <c r="Z9" s="98"/>
    </row>
    <row r="10" spans="1:26">
      <c r="A10" s="2"/>
      <c r="B10" s="2"/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53"/>
      <c r="U10" s="3"/>
      <c r="V10" s="3"/>
      <c r="W10" s="2"/>
      <c r="X10" s="2"/>
      <c r="Y10" s="2"/>
      <c r="Z10" s="2"/>
    </row>
    <row r="11" spans="1:26" ht="15.75">
      <c r="A11" s="37"/>
      <c r="B11" s="37"/>
      <c r="C11" s="37"/>
      <c r="D11" s="99" t="s">
        <v>10</v>
      </c>
      <c r="E11" s="100"/>
      <c r="F11" s="100"/>
      <c r="G11" s="100"/>
      <c r="H11" s="100"/>
      <c r="I11" s="101"/>
      <c r="J11" s="102" t="s">
        <v>11</v>
      </c>
      <c r="K11" s="100"/>
      <c r="L11" s="100"/>
      <c r="M11" s="100"/>
      <c r="N11" s="100"/>
      <c r="O11" s="100"/>
      <c r="P11" s="101"/>
      <c r="Q11" s="102" t="s">
        <v>12</v>
      </c>
      <c r="R11" s="101"/>
      <c r="S11" s="37"/>
      <c r="T11" s="102" t="s">
        <v>13</v>
      </c>
      <c r="U11" s="100"/>
      <c r="V11" s="100"/>
      <c r="W11" s="100"/>
      <c r="X11" s="100"/>
      <c r="Y11" s="101"/>
      <c r="Z11" s="38"/>
    </row>
    <row r="12" spans="1:26" ht="82.5" customHeight="1">
      <c r="A12" s="39" t="s">
        <v>14</v>
      </c>
      <c r="B12" s="40" t="s">
        <v>15</v>
      </c>
      <c r="C12" s="40" t="s">
        <v>16</v>
      </c>
      <c r="D12" s="56" t="s">
        <v>17</v>
      </c>
      <c r="E12" s="56" t="s">
        <v>18</v>
      </c>
      <c r="F12" s="56" t="s">
        <v>19</v>
      </c>
      <c r="G12" s="56" t="s">
        <v>20</v>
      </c>
      <c r="H12" s="56" t="s">
        <v>21</v>
      </c>
      <c r="I12" s="57" t="s">
        <v>22</v>
      </c>
      <c r="J12" s="56" t="s">
        <v>23</v>
      </c>
      <c r="K12" s="56" t="s">
        <v>24</v>
      </c>
      <c r="L12" s="56" t="s">
        <v>25</v>
      </c>
      <c r="M12" s="56" t="s">
        <v>26</v>
      </c>
      <c r="N12" s="56" t="s">
        <v>21</v>
      </c>
      <c r="O12" s="58" t="s">
        <v>27</v>
      </c>
      <c r="P12" s="57" t="s">
        <v>28</v>
      </c>
      <c r="Q12" s="59" t="s">
        <v>29</v>
      </c>
      <c r="R12" s="58" t="s">
        <v>30</v>
      </c>
      <c r="S12" s="60" t="s">
        <v>31</v>
      </c>
      <c r="T12" s="51" t="s">
        <v>179</v>
      </c>
      <c r="U12" s="51" t="s">
        <v>180</v>
      </c>
      <c r="V12" s="51" t="s">
        <v>181</v>
      </c>
      <c r="W12" s="59" t="s">
        <v>32</v>
      </c>
      <c r="X12" s="59" t="s">
        <v>33</v>
      </c>
      <c r="Y12" s="60" t="s">
        <v>34</v>
      </c>
      <c r="Z12" s="61" t="s">
        <v>35</v>
      </c>
    </row>
    <row r="13" spans="1:26" ht="24.95" customHeight="1">
      <c r="A13" s="30">
        <v>1</v>
      </c>
      <c r="B13" s="30" t="s">
        <v>77</v>
      </c>
      <c r="C13" s="31" t="s">
        <v>78</v>
      </c>
      <c r="D13" s="68">
        <v>5</v>
      </c>
      <c r="E13" s="69">
        <v>5</v>
      </c>
      <c r="F13" s="70">
        <v>5</v>
      </c>
      <c r="G13" s="62">
        <f>SUM(LARGE(D13:F13,{1,2}))</f>
        <v>10</v>
      </c>
      <c r="H13" s="62">
        <f>G13/2</f>
        <v>5</v>
      </c>
      <c r="I13" s="63">
        <f>ROUNDUP(H13,0)</f>
        <v>5</v>
      </c>
      <c r="J13" s="68">
        <v>25</v>
      </c>
      <c r="K13" s="71">
        <v>25</v>
      </c>
      <c r="L13" s="70">
        <v>25</v>
      </c>
      <c r="M13" s="62">
        <f>SUM(LARGE(J13:L13,{1,2}))</f>
        <v>50</v>
      </c>
      <c r="N13" s="62">
        <f>ROUNDUP(M13/50*5,1)</f>
        <v>5</v>
      </c>
      <c r="O13" s="63">
        <f>ROUNDUP(N13,0)</f>
        <v>5</v>
      </c>
      <c r="P13" s="63">
        <v>5</v>
      </c>
      <c r="Q13" s="68" t="s">
        <v>178</v>
      </c>
      <c r="R13" s="64">
        <f>IF(Q13&gt;=95,5,IF(Q13&gt;=90,4,IF(Q13&gt;=85,3, IF(Q13&gt;=80,2,IF(Q13&gt;=75,1,0)))))</f>
        <v>5</v>
      </c>
      <c r="S13" s="65">
        <f>I13+O13+P13+R13</f>
        <v>20</v>
      </c>
      <c r="T13" s="68">
        <v>60</v>
      </c>
      <c r="U13" s="68">
        <v>86</v>
      </c>
      <c r="V13" s="68" t="s">
        <v>177</v>
      </c>
      <c r="W13" s="62">
        <f>SUM(LARGE(T13:V13,{1,2}))</f>
        <v>146</v>
      </c>
      <c r="X13" s="62">
        <f>W13/10</f>
        <v>14.6</v>
      </c>
      <c r="Y13" s="66">
        <f>ROUNDUP(X13,0)</f>
        <v>15</v>
      </c>
      <c r="Z13" s="67">
        <f>S13+Y13</f>
        <v>35</v>
      </c>
    </row>
    <row r="14" spans="1:26" ht="24.95" customHeight="1">
      <c r="A14" s="30">
        <v>2</v>
      </c>
      <c r="B14" s="30" t="s">
        <v>79</v>
      </c>
      <c r="C14" s="31" t="s">
        <v>80</v>
      </c>
      <c r="D14" s="68">
        <v>5</v>
      </c>
      <c r="E14" s="69">
        <v>5</v>
      </c>
      <c r="F14" s="70">
        <v>5</v>
      </c>
      <c r="G14" s="62">
        <f>SUM(LARGE(D14:F14,{1,2}))</f>
        <v>10</v>
      </c>
      <c r="H14" s="62">
        <f t="shared" ref="H14:H62" si="0">G14/2</f>
        <v>5</v>
      </c>
      <c r="I14" s="63">
        <f t="shared" ref="I14:I62" si="1">ROUNDUP(H14,0)</f>
        <v>5</v>
      </c>
      <c r="J14" s="68">
        <v>25</v>
      </c>
      <c r="K14" s="71">
        <v>25</v>
      </c>
      <c r="L14" s="70">
        <v>25</v>
      </c>
      <c r="M14" s="62">
        <f>SUM(LARGE(J14:L14,{1,2}))</f>
        <v>50</v>
      </c>
      <c r="N14" s="62">
        <f t="shared" ref="N14:N62" si="2">ROUNDUP(M14/50*5,1)</f>
        <v>5</v>
      </c>
      <c r="O14" s="63">
        <f t="shared" ref="O14:O62" si="3">ROUNDUP(N14,0)</f>
        <v>5</v>
      </c>
      <c r="P14" s="63">
        <v>5</v>
      </c>
      <c r="Q14" s="68">
        <v>87</v>
      </c>
      <c r="R14" s="64">
        <f t="shared" ref="R14:R62" si="4">IF(Q14&gt;=95,5,IF(Q14&gt;=90,4,IF(Q14&gt;=85,3, IF(Q14&gt;=80,2,IF(Q14&gt;=75,1,0)))))</f>
        <v>3</v>
      </c>
      <c r="S14" s="65">
        <f t="shared" ref="S14:S62" si="5">I14+O14+P14+R14</f>
        <v>18</v>
      </c>
      <c r="T14" s="68">
        <v>90</v>
      </c>
      <c r="U14" s="68">
        <v>96</v>
      </c>
      <c r="V14" s="68">
        <v>80</v>
      </c>
      <c r="W14" s="62">
        <f>SUM(LARGE(T14:V14,{1,2}))</f>
        <v>186</v>
      </c>
      <c r="X14" s="62">
        <f t="shared" ref="X14:X62" si="6">W14/10</f>
        <v>18.600000000000001</v>
      </c>
      <c r="Y14" s="66">
        <f t="shared" ref="Y14:Y62" si="7">ROUNDUP(X14,0)</f>
        <v>19</v>
      </c>
      <c r="Z14" s="67">
        <f t="shared" ref="Z14:Z62" si="8">S14+Y14</f>
        <v>37</v>
      </c>
    </row>
    <row r="15" spans="1:26" ht="24.95" customHeight="1">
      <c r="A15" s="30">
        <v>3</v>
      </c>
      <c r="B15" s="30" t="s">
        <v>81</v>
      </c>
      <c r="C15" s="31" t="s">
        <v>82</v>
      </c>
      <c r="D15" s="68">
        <v>5</v>
      </c>
      <c r="E15" s="69">
        <v>5</v>
      </c>
      <c r="F15" s="70">
        <v>5</v>
      </c>
      <c r="G15" s="62">
        <f>SUM(LARGE(D15:F15,{1,2}))</f>
        <v>10</v>
      </c>
      <c r="H15" s="62">
        <f t="shared" si="0"/>
        <v>5</v>
      </c>
      <c r="I15" s="63">
        <f t="shared" si="1"/>
        <v>5</v>
      </c>
      <c r="J15" s="68">
        <v>25</v>
      </c>
      <c r="K15" s="71">
        <v>25</v>
      </c>
      <c r="L15" s="70">
        <v>25</v>
      </c>
      <c r="M15" s="62">
        <f>SUM(LARGE(J15:L15,{1,2}))</f>
        <v>50</v>
      </c>
      <c r="N15" s="62">
        <f t="shared" si="2"/>
        <v>5</v>
      </c>
      <c r="O15" s="63">
        <f t="shared" si="3"/>
        <v>5</v>
      </c>
      <c r="P15" s="63">
        <v>5</v>
      </c>
      <c r="Q15" s="68">
        <v>93</v>
      </c>
      <c r="R15" s="64">
        <f t="shared" si="4"/>
        <v>4</v>
      </c>
      <c r="S15" s="65">
        <f t="shared" si="5"/>
        <v>19</v>
      </c>
      <c r="T15" s="68">
        <v>56.000000000000007</v>
      </c>
      <c r="U15" s="68">
        <v>62</v>
      </c>
      <c r="V15" s="68">
        <v>48</v>
      </c>
      <c r="W15" s="62">
        <f>SUM(LARGE(T15:V15,{1,2}))</f>
        <v>118</v>
      </c>
      <c r="X15" s="62">
        <f t="shared" si="6"/>
        <v>11.8</v>
      </c>
      <c r="Y15" s="66">
        <f t="shared" si="7"/>
        <v>12</v>
      </c>
      <c r="Z15" s="67">
        <f t="shared" si="8"/>
        <v>31</v>
      </c>
    </row>
    <row r="16" spans="1:26" ht="24.95" customHeight="1">
      <c r="A16" s="30">
        <v>4</v>
      </c>
      <c r="B16" s="30" t="s">
        <v>83</v>
      </c>
      <c r="C16" s="31" t="s">
        <v>84</v>
      </c>
      <c r="D16" s="68">
        <v>5</v>
      </c>
      <c r="E16" s="69">
        <v>5</v>
      </c>
      <c r="F16" s="70">
        <v>5</v>
      </c>
      <c r="G16" s="62">
        <f>SUM(LARGE(D16:F16,{1,2}))</f>
        <v>10</v>
      </c>
      <c r="H16" s="62">
        <f t="shared" si="0"/>
        <v>5</v>
      </c>
      <c r="I16" s="63">
        <f t="shared" si="1"/>
        <v>5</v>
      </c>
      <c r="J16" s="68">
        <v>25</v>
      </c>
      <c r="K16" s="71">
        <v>25</v>
      </c>
      <c r="L16" s="70">
        <v>25</v>
      </c>
      <c r="M16" s="62">
        <f>SUM(LARGE(J16:L16,{1,2}))</f>
        <v>50</v>
      </c>
      <c r="N16" s="62">
        <f t="shared" si="2"/>
        <v>5</v>
      </c>
      <c r="O16" s="63">
        <f t="shared" si="3"/>
        <v>5</v>
      </c>
      <c r="P16" s="63">
        <v>5</v>
      </c>
      <c r="Q16" s="68">
        <v>89</v>
      </c>
      <c r="R16" s="64">
        <f t="shared" si="4"/>
        <v>3</v>
      </c>
      <c r="S16" s="65">
        <f t="shared" si="5"/>
        <v>18</v>
      </c>
      <c r="T16" s="68">
        <v>40</v>
      </c>
      <c r="U16" s="68">
        <v>34</v>
      </c>
      <c r="V16" s="68">
        <v>73</v>
      </c>
      <c r="W16" s="62">
        <f>SUM(LARGE(T16:V16,{1,2}))</f>
        <v>113</v>
      </c>
      <c r="X16" s="62">
        <f t="shared" si="6"/>
        <v>11.3</v>
      </c>
      <c r="Y16" s="66">
        <f t="shared" si="7"/>
        <v>12</v>
      </c>
      <c r="Z16" s="67">
        <f t="shared" si="8"/>
        <v>30</v>
      </c>
    </row>
    <row r="17" spans="1:26" ht="24.95" customHeight="1">
      <c r="A17" s="30">
        <v>5</v>
      </c>
      <c r="B17" s="30" t="s">
        <v>85</v>
      </c>
      <c r="C17" s="31" t="s">
        <v>86</v>
      </c>
      <c r="D17" s="68">
        <v>5</v>
      </c>
      <c r="E17" s="69">
        <v>5</v>
      </c>
      <c r="F17" s="70">
        <v>5</v>
      </c>
      <c r="G17" s="62">
        <f>SUM(LARGE(D17:F17,{1,2}))</f>
        <v>10</v>
      </c>
      <c r="H17" s="62">
        <f t="shared" si="0"/>
        <v>5</v>
      </c>
      <c r="I17" s="63">
        <f t="shared" si="1"/>
        <v>5</v>
      </c>
      <c r="J17" s="68">
        <v>25</v>
      </c>
      <c r="K17" s="71">
        <v>25</v>
      </c>
      <c r="L17" s="70">
        <v>25</v>
      </c>
      <c r="M17" s="62">
        <f>SUM(LARGE(J17:L17,{1,2}))</f>
        <v>50</v>
      </c>
      <c r="N17" s="62">
        <f t="shared" si="2"/>
        <v>5</v>
      </c>
      <c r="O17" s="63">
        <f t="shared" si="3"/>
        <v>5</v>
      </c>
      <c r="P17" s="63">
        <v>5</v>
      </c>
      <c r="Q17" s="68">
        <v>83</v>
      </c>
      <c r="R17" s="64">
        <f t="shared" si="4"/>
        <v>2</v>
      </c>
      <c r="S17" s="65">
        <f t="shared" si="5"/>
        <v>17</v>
      </c>
      <c r="T17" s="68">
        <v>64</v>
      </c>
      <c r="U17" s="68">
        <v>76</v>
      </c>
      <c r="V17" s="68" t="s">
        <v>177</v>
      </c>
      <c r="W17" s="62">
        <f>SUM(LARGE(T17:V17,{1,2}))</f>
        <v>140</v>
      </c>
      <c r="X17" s="62">
        <f t="shared" si="6"/>
        <v>14</v>
      </c>
      <c r="Y17" s="66">
        <f t="shared" si="7"/>
        <v>14</v>
      </c>
      <c r="Z17" s="67">
        <f t="shared" si="8"/>
        <v>31</v>
      </c>
    </row>
    <row r="18" spans="1:26" ht="24.95" customHeight="1">
      <c r="A18" s="30">
        <v>6</v>
      </c>
      <c r="B18" s="30" t="s">
        <v>87</v>
      </c>
      <c r="C18" s="31" t="s">
        <v>88</v>
      </c>
      <c r="D18" s="68">
        <v>5</v>
      </c>
      <c r="E18" s="69">
        <v>5</v>
      </c>
      <c r="F18" s="70">
        <v>5</v>
      </c>
      <c r="G18" s="62">
        <f>SUM(LARGE(D18:F18,{1,2}))</f>
        <v>10</v>
      </c>
      <c r="H18" s="62">
        <f t="shared" si="0"/>
        <v>5</v>
      </c>
      <c r="I18" s="63">
        <f t="shared" si="1"/>
        <v>5</v>
      </c>
      <c r="J18" s="68">
        <v>25</v>
      </c>
      <c r="K18" s="71">
        <v>25</v>
      </c>
      <c r="L18" s="70">
        <v>25</v>
      </c>
      <c r="M18" s="62">
        <f>SUM(LARGE(J18:L18,{1,2}))</f>
        <v>50</v>
      </c>
      <c r="N18" s="62">
        <f t="shared" si="2"/>
        <v>5</v>
      </c>
      <c r="O18" s="63">
        <f t="shared" si="3"/>
        <v>5</v>
      </c>
      <c r="P18" s="63">
        <v>5</v>
      </c>
      <c r="Q18" s="68">
        <v>91</v>
      </c>
      <c r="R18" s="64">
        <f t="shared" si="4"/>
        <v>4</v>
      </c>
      <c r="S18" s="65">
        <f t="shared" si="5"/>
        <v>19</v>
      </c>
      <c r="T18" s="68">
        <v>66</v>
      </c>
      <c r="U18" s="68">
        <v>82</v>
      </c>
      <c r="V18" s="68">
        <v>75</v>
      </c>
      <c r="W18" s="62">
        <f>SUM(LARGE(T18:V18,{1,2}))</f>
        <v>157</v>
      </c>
      <c r="X18" s="62">
        <f t="shared" si="6"/>
        <v>15.7</v>
      </c>
      <c r="Y18" s="66">
        <f t="shared" si="7"/>
        <v>16</v>
      </c>
      <c r="Z18" s="67">
        <f t="shared" si="8"/>
        <v>35</v>
      </c>
    </row>
    <row r="19" spans="1:26" ht="24.95" customHeight="1">
      <c r="A19" s="30">
        <v>7</v>
      </c>
      <c r="B19" s="30" t="s">
        <v>89</v>
      </c>
      <c r="C19" s="31" t="s">
        <v>90</v>
      </c>
      <c r="D19" s="68">
        <v>5</v>
      </c>
      <c r="E19" s="69">
        <v>5</v>
      </c>
      <c r="F19" s="70">
        <v>5</v>
      </c>
      <c r="G19" s="62">
        <f>SUM(LARGE(D19:F19,{1,2}))</f>
        <v>10</v>
      </c>
      <c r="H19" s="62">
        <f t="shared" si="0"/>
        <v>5</v>
      </c>
      <c r="I19" s="63">
        <f t="shared" si="1"/>
        <v>5</v>
      </c>
      <c r="J19" s="68">
        <v>25</v>
      </c>
      <c r="K19" s="71">
        <v>25</v>
      </c>
      <c r="L19" s="70">
        <v>25</v>
      </c>
      <c r="M19" s="62">
        <f>SUM(LARGE(J19:L19,{1,2}))</f>
        <v>50</v>
      </c>
      <c r="N19" s="62">
        <f t="shared" si="2"/>
        <v>5</v>
      </c>
      <c r="O19" s="63">
        <f t="shared" si="3"/>
        <v>5</v>
      </c>
      <c r="P19" s="63">
        <v>5</v>
      </c>
      <c r="Q19" s="68">
        <v>92</v>
      </c>
      <c r="R19" s="64">
        <f t="shared" si="4"/>
        <v>4</v>
      </c>
      <c r="S19" s="65">
        <f t="shared" si="5"/>
        <v>19</v>
      </c>
      <c r="T19" s="68">
        <v>76</v>
      </c>
      <c r="U19" s="68">
        <v>70</v>
      </c>
      <c r="V19" s="68">
        <v>43</v>
      </c>
      <c r="W19" s="62">
        <f>SUM(LARGE(T19:V19,{1,2}))</f>
        <v>146</v>
      </c>
      <c r="X19" s="62">
        <f t="shared" si="6"/>
        <v>14.6</v>
      </c>
      <c r="Y19" s="66">
        <f t="shared" si="7"/>
        <v>15</v>
      </c>
      <c r="Z19" s="67">
        <f t="shared" si="8"/>
        <v>34</v>
      </c>
    </row>
    <row r="20" spans="1:26" ht="24.95" customHeight="1">
      <c r="A20" s="30">
        <v>8</v>
      </c>
      <c r="B20" s="30" t="s">
        <v>91</v>
      </c>
      <c r="C20" s="31" t="s">
        <v>92</v>
      </c>
      <c r="D20" s="68">
        <v>5</v>
      </c>
      <c r="E20" s="69">
        <v>5</v>
      </c>
      <c r="F20" s="70">
        <v>5</v>
      </c>
      <c r="G20" s="62">
        <f>SUM(LARGE(D20:F20,{1,2}))</f>
        <v>10</v>
      </c>
      <c r="H20" s="62">
        <f t="shared" si="0"/>
        <v>5</v>
      </c>
      <c r="I20" s="63">
        <f t="shared" si="1"/>
        <v>5</v>
      </c>
      <c r="J20" s="68">
        <v>25</v>
      </c>
      <c r="K20" s="71">
        <v>25</v>
      </c>
      <c r="L20" s="70">
        <v>25</v>
      </c>
      <c r="M20" s="62">
        <f>SUM(LARGE(J20:L20,{1,2}))</f>
        <v>50</v>
      </c>
      <c r="N20" s="62">
        <f t="shared" si="2"/>
        <v>5</v>
      </c>
      <c r="O20" s="63">
        <f t="shared" si="3"/>
        <v>5</v>
      </c>
      <c r="P20" s="63">
        <v>5</v>
      </c>
      <c r="Q20" s="68">
        <v>91</v>
      </c>
      <c r="R20" s="64">
        <f t="shared" si="4"/>
        <v>4</v>
      </c>
      <c r="S20" s="65">
        <f t="shared" si="5"/>
        <v>19</v>
      </c>
      <c r="T20" s="68">
        <v>80</v>
      </c>
      <c r="U20" s="68">
        <v>82</v>
      </c>
      <c r="V20" s="68" t="s">
        <v>177</v>
      </c>
      <c r="W20" s="62">
        <f>SUM(LARGE(T20:V20,{1,2}))</f>
        <v>162</v>
      </c>
      <c r="X20" s="62">
        <f t="shared" si="6"/>
        <v>16.2</v>
      </c>
      <c r="Y20" s="66">
        <f t="shared" si="7"/>
        <v>17</v>
      </c>
      <c r="Z20" s="67">
        <f t="shared" si="8"/>
        <v>36</v>
      </c>
    </row>
    <row r="21" spans="1:26" ht="24.95" customHeight="1">
      <c r="A21" s="30">
        <v>9</v>
      </c>
      <c r="B21" s="30" t="s">
        <v>93</v>
      </c>
      <c r="C21" s="31" t="s">
        <v>94</v>
      </c>
      <c r="D21" s="68">
        <v>5</v>
      </c>
      <c r="E21" s="69">
        <v>5</v>
      </c>
      <c r="F21" s="70">
        <v>5</v>
      </c>
      <c r="G21" s="62">
        <f>SUM(LARGE(D21:F21,{1,2}))</f>
        <v>10</v>
      </c>
      <c r="H21" s="62">
        <f t="shared" si="0"/>
        <v>5</v>
      </c>
      <c r="I21" s="63">
        <f t="shared" si="1"/>
        <v>5</v>
      </c>
      <c r="J21" s="68">
        <v>25</v>
      </c>
      <c r="K21" s="71">
        <v>25</v>
      </c>
      <c r="L21" s="70">
        <v>25</v>
      </c>
      <c r="M21" s="62">
        <f>SUM(LARGE(J21:L21,{1,2}))</f>
        <v>50</v>
      </c>
      <c r="N21" s="62">
        <f t="shared" si="2"/>
        <v>5</v>
      </c>
      <c r="O21" s="63">
        <f t="shared" si="3"/>
        <v>5</v>
      </c>
      <c r="P21" s="63">
        <v>5</v>
      </c>
      <c r="Q21" s="68">
        <v>98</v>
      </c>
      <c r="R21" s="64">
        <f t="shared" si="4"/>
        <v>5</v>
      </c>
      <c r="S21" s="65">
        <f t="shared" si="5"/>
        <v>20</v>
      </c>
      <c r="T21" s="68">
        <v>48</v>
      </c>
      <c r="U21" s="68">
        <v>54</v>
      </c>
      <c r="V21" s="68">
        <v>0</v>
      </c>
      <c r="W21" s="62">
        <f>SUM(LARGE(T21:V21,{1,2}))</f>
        <v>102</v>
      </c>
      <c r="X21" s="62">
        <f t="shared" si="6"/>
        <v>10.199999999999999</v>
      </c>
      <c r="Y21" s="66">
        <f t="shared" si="7"/>
        <v>11</v>
      </c>
      <c r="Z21" s="67">
        <f t="shared" si="8"/>
        <v>31</v>
      </c>
    </row>
    <row r="22" spans="1:26" ht="24.95" customHeight="1">
      <c r="A22" s="30">
        <v>10</v>
      </c>
      <c r="B22" s="30" t="s">
        <v>95</v>
      </c>
      <c r="C22" s="31" t="s">
        <v>96</v>
      </c>
      <c r="D22" s="68">
        <v>5</v>
      </c>
      <c r="E22" s="69">
        <v>5</v>
      </c>
      <c r="F22" s="70">
        <v>5</v>
      </c>
      <c r="G22" s="62">
        <f>SUM(LARGE(D22:F22,{1,2}))</f>
        <v>10</v>
      </c>
      <c r="H22" s="62">
        <f t="shared" si="0"/>
        <v>5</v>
      </c>
      <c r="I22" s="63">
        <f t="shared" si="1"/>
        <v>5</v>
      </c>
      <c r="J22" s="68">
        <v>25</v>
      </c>
      <c r="K22" s="71">
        <v>25</v>
      </c>
      <c r="L22" s="70">
        <v>25</v>
      </c>
      <c r="M22" s="62">
        <f>SUM(LARGE(J22:L22,{1,2}))</f>
        <v>50</v>
      </c>
      <c r="N22" s="62">
        <f t="shared" si="2"/>
        <v>5</v>
      </c>
      <c r="O22" s="63">
        <f t="shared" si="3"/>
        <v>5</v>
      </c>
      <c r="P22" s="63">
        <v>5</v>
      </c>
      <c r="Q22" s="68">
        <v>88</v>
      </c>
      <c r="R22" s="64">
        <f t="shared" si="4"/>
        <v>3</v>
      </c>
      <c r="S22" s="65">
        <f t="shared" si="5"/>
        <v>18</v>
      </c>
      <c r="T22" s="68">
        <v>48</v>
      </c>
      <c r="U22" s="68">
        <v>66</v>
      </c>
      <c r="V22" s="68">
        <v>48</v>
      </c>
      <c r="W22" s="62">
        <f>SUM(LARGE(T22:V22,{1,2}))</f>
        <v>114</v>
      </c>
      <c r="X22" s="62">
        <f t="shared" si="6"/>
        <v>11.4</v>
      </c>
      <c r="Y22" s="66">
        <f t="shared" si="7"/>
        <v>12</v>
      </c>
      <c r="Z22" s="67">
        <f t="shared" si="8"/>
        <v>30</v>
      </c>
    </row>
    <row r="23" spans="1:26" ht="24.95" customHeight="1">
      <c r="A23" s="30">
        <v>11</v>
      </c>
      <c r="B23" s="30" t="s">
        <v>97</v>
      </c>
      <c r="C23" s="31" t="s">
        <v>98</v>
      </c>
      <c r="D23" s="68">
        <v>5</v>
      </c>
      <c r="E23" s="69">
        <v>5</v>
      </c>
      <c r="F23" s="70">
        <v>5</v>
      </c>
      <c r="G23" s="62">
        <f>SUM(LARGE(D23:F23,{1,2}))</f>
        <v>10</v>
      </c>
      <c r="H23" s="62">
        <f t="shared" si="0"/>
        <v>5</v>
      </c>
      <c r="I23" s="63">
        <f t="shared" si="1"/>
        <v>5</v>
      </c>
      <c r="J23" s="68">
        <v>25</v>
      </c>
      <c r="K23" s="71">
        <v>25</v>
      </c>
      <c r="L23" s="70">
        <v>25</v>
      </c>
      <c r="M23" s="62">
        <f>SUM(LARGE(J23:L23,{1,2}))</f>
        <v>50</v>
      </c>
      <c r="N23" s="62">
        <f t="shared" si="2"/>
        <v>5</v>
      </c>
      <c r="O23" s="63">
        <f t="shared" si="3"/>
        <v>5</v>
      </c>
      <c r="P23" s="63">
        <v>5</v>
      </c>
      <c r="Q23" s="68">
        <v>82</v>
      </c>
      <c r="R23" s="64">
        <f t="shared" si="4"/>
        <v>2</v>
      </c>
      <c r="S23" s="65">
        <f t="shared" si="5"/>
        <v>17</v>
      </c>
      <c r="T23" s="68">
        <v>36</v>
      </c>
      <c r="U23" s="68">
        <v>64</v>
      </c>
      <c r="V23" s="68">
        <v>15</v>
      </c>
      <c r="W23" s="62">
        <f>SUM(LARGE(T23:V23,{1,2}))</f>
        <v>100</v>
      </c>
      <c r="X23" s="62">
        <f t="shared" si="6"/>
        <v>10</v>
      </c>
      <c r="Y23" s="66">
        <f t="shared" si="7"/>
        <v>10</v>
      </c>
      <c r="Z23" s="67">
        <f t="shared" si="8"/>
        <v>27</v>
      </c>
    </row>
    <row r="24" spans="1:26" ht="24.95" customHeight="1">
      <c r="A24" s="30">
        <v>12</v>
      </c>
      <c r="B24" s="30" t="s">
        <v>99</v>
      </c>
      <c r="C24" s="31" t="s">
        <v>100</v>
      </c>
      <c r="D24" s="68">
        <v>5</v>
      </c>
      <c r="E24" s="69">
        <v>5</v>
      </c>
      <c r="F24" s="70">
        <v>5</v>
      </c>
      <c r="G24" s="62">
        <f>SUM(LARGE(D24:F24,{1,2}))</f>
        <v>10</v>
      </c>
      <c r="H24" s="62">
        <f t="shared" si="0"/>
        <v>5</v>
      </c>
      <c r="I24" s="63">
        <f t="shared" si="1"/>
        <v>5</v>
      </c>
      <c r="J24" s="68">
        <v>25</v>
      </c>
      <c r="K24" s="71">
        <v>25</v>
      </c>
      <c r="L24" s="70">
        <v>25</v>
      </c>
      <c r="M24" s="62">
        <f>SUM(LARGE(J24:L24,{1,2}))</f>
        <v>50</v>
      </c>
      <c r="N24" s="62">
        <f t="shared" si="2"/>
        <v>5</v>
      </c>
      <c r="O24" s="63">
        <f t="shared" si="3"/>
        <v>5</v>
      </c>
      <c r="P24" s="63">
        <v>5</v>
      </c>
      <c r="Q24" s="68">
        <v>86</v>
      </c>
      <c r="R24" s="64">
        <f t="shared" si="4"/>
        <v>3</v>
      </c>
      <c r="S24" s="65">
        <f t="shared" si="5"/>
        <v>18</v>
      </c>
      <c r="T24" s="68">
        <v>50</v>
      </c>
      <c r="U24" s="68">
        <v>56.000000000000007</v>
      </c>
      <c r="V24" s="68">
        <v>65</v>
      </c>
      <c r="W24" s="62">
        <f>SUM(LARGE(T24:V24,{1,2}))</f>
        <v>121</v>
      </c>
      <c r="X24" s="62">
        <f t="shared" si="6"/>
        <v>12.1</v>
      </c>
      <c r="Y24" s="66">
        <f t="shared" si="7"/>
        <v>13</v>
      </c>
      <c r="Z24" s="67">
        <f t="shared" si="8"/>
        <v>31</v>
      </c>
    </row>
    <row r="25" spans="1:26" ht="24.95" customHeight="1">
      <c r="A25" s="30">
        <v>13</v>
      </c>
      <c r="B25" s="30" t="s">
        <v>101</v>
      </c>
      <c r="C25" s="31" t="s">
        <v>102</v>
      </c>
      <c r="D25" s="68">
        <v>5</v>
      </c>
      <c r="E25" s="69">
        <v>5</v>
      </c>
      <c r="F25" s="70">
        <v>5</v>
      </c>
      <c r="G25" s="62">
        <f>SUM(LARGE(D25:F25,{1,2}))</f>
        <v>10</v>
      </c>
      <c r="H25" s="62">
        <f t="shared" si="0"/>
        <v>5</v>
      </c>
      <c r="I25" s="63">
        <f t="shared" si="1"/>
        <v>5</v>
      </c>
      <c r="J25" s="68">
        <v>25</v>
      </c>
      <c r="K25" s="71">
        <v>25</v>
      </c>
      <c r="L25" s="70">
        <v>25</v>
      </c>
      <c r="M25" s="62">
        <f>SUM(LARGE(J25:L25,{1,2}))</f>
        <v>50</v>
      </c>
      <c r="N25" s="62">
        <f t="shared" si="2"/>
        <v>5</v>
      </c>
      <c r="O25" s="63">
        <f t="shared" si="3"/>
        <v>5</v>
      </c>
      <c r="P25" s="63">
        <v>5</v>
      </c>
      <c r="Q25" s="72">
        <v>71</v>
      </c>
      <c r="R25" s="64">
        <f t="shared" si="4"/>
        <v>0</v>
      </c>
      <c r="S25" s="65">
        <f t="shared" si="5"/>
        <v>15</v>
      </c>
      <c r="T25" s="68">
        <v>44</v>
      </c>
      <c r="U25" s="68">
        <v>32</v>
      </c>
      <c r="V25" s="68">
        <v>43</v>
      </c>
      <c r="W25" s="62">
        <f>SUM(LARGE(T25:V25,{1,2}))</f>
        <v>87</v>
      </c>
      <c r="X25" s="62">
        <f t="shared" si="6"/>
        <v>8.6999999999999993</v>
      </c>
      <c r="Y25" s="66">
        <f t="shared" si="7"/>
        <v>9</v>
      </c>
      <c r="Z25" s="67">
        <f t="shared" si="8"/>
        <v>24</v>
      </c>
    </row>
    <row r="26" spans="1:26" ht="24.95" customHeight="1">
      <c r="A26" s="30">
        <v>14</v>
      </c>
      <c r="B26" s="30" t="s">
        <v>103</v>
      </c>
      <c r="C26" s="31" t="s">
        <v>104</v>
      </c>
      <c r="D26" s="68">
        <v>5</v>
      </c>
      <c r="E26" s="69">
        <v>5</v>
      </c>
      <c r="F26" s="70">
        <v>5</v>
      </c>
      <c r="G26" s="62">
        <f>SUM(LARGE(D26:F26,{1,2}))</f>
        <v>10</v>
      </c>
      <c r="H26" s="62">
        <f t="shared" si="0"/>
        <v>5</v>
      </c>
      <c r="I26" s="63">
        <f t="shared" si="1"/>
        <v>5</v>
      </c>
      <c r="J26" s="68">
        <v>25</v>
      </c>
      <c r="K26" s="71">
        <v>25</v>
      </c>
      <c r="L26" s="70">
        <v>25</v>
      </c>
      <c r="M26" s="62">
        <f>SUM(LARGE(J26:L26,{1,2}))</f>
        <v>50</v>
      </c>
      <c r="N26" s="62">
        <f t="shared" si="2"/>
        <v>5</v>
      </c>
      <c r="O26" s="63">
        <f t="shared" si="3"/>
        <v>5</v>
      </c>
      <c r="P26" s="63">
        <v>5</v>
      </c>
      <c r="Q26" s="68">
        <v>97</v>
      </c>
      <c r="R26" s="64">
        <f t="shared" si="4"/>
        <v>5</v>
      </c>
      <c r="S26" s="65">
        <f t="shared" si="5"/>
        <v>20</v>
      </c>
      <c r="T26" s="68">
        <v>66</v>
      </c>
      <c r="U26" s="68">
        <v>66</v>
      </c>
      <c r="V26" s="68">
        <v>40</v>
      </c>
      <c r="W26" s="62">
        <f>SUM(LARGE(T26:V26,{1,2}))</f>
        <v>132</v>
      </c>
      <c r="X26" s="62">
        <f t="shared" si="6"/>
        <v>13.2</v>
      </c>
      <c r="Y26" s="66">
        <f t="shared" si="7"/>
        <v>14</v>
      </c>
      <c r="Z26" s="67">
        <f t="shared" si="8"/>
        <v>34</v>
      </c>
    </row>
    <row r="27" spans="1:26" ht="24.95" customHeight="1">
      <c r="A27" s="30">
        <v>15</v>
      </c>
      <c r="B27" s="30" t="s">
        <v>105</v>
      </c>
      <c r="C27" s="31" t="s">
        <v>106</v>
      </c>
      <c r="D27" s="68">
        <v>5</v>
      </c>
      <c r="E27" s="69">
        <v>5</v>
      </c>
      <c r="F27" s="70">
        <v>5</v>
      </c>
      <c r="G27" s="62">
        <f>SUM(LARGE(D27:F27,{1,2}))</f>
        <v>10</v>
      </c>
      <c r="H27" s="62">
        <f t="shared" si="0"/>
        <v>5</v>
      </c>
      <c r="I27" s="63">
        <f t="shared" si="1"/>
        <v>5</v>
      </c>
      <c r="J27" s="68">
        <v>25</v>
      </c>
      <c r="K27" s="71">
        <v>25</v>
      </c>
      <c r="L27" s="70">
        <v>25</v>
      </c>
      <c r="M27" s="62">
        <f>SUM(LARGE(J27:L27,{1,2}))</f>
        <v>50</v>
      </c>
      <c r="N27" s="62">
        <f t="shared" si="2"/>
        <v>5</v>
      </c>
      <c r="O27" s="63">
        <f t="shared" si="3"/>
        <v>5</v>
      </c>
      <c r="P27" s="63">
        <v>5</v>
      </c>
      <c r="Q27" s="68">
        <v>86</v>
      </c>
      <c r="R27" s="64">
        <f t="shared" si="4"/>
        <v>3</v>
      </c>
      <c r="S27" s="65">
        <f t="shared" si="5"/>
        <v>18</v>
      </c>
      <c r="T27" s="68">
        <v>80</v>
      </c>
      <c r="U27" s="68">
        <v>78</v>
      </c>
      <c r="V27" s="68" t="s">
        <v>177</v>
      </c>
      <c r="W27" s="62">
        <f>SUM(LARGE(T27:V27,{1,2}))</f>
        <v>158</v>
      </c>
      <c r="X27" s="62">
        <f t="shared" si="6"/>
        <v>15.8</v>
      </c>
      <c r="Y27" s="66">
        <f t="shared" si="7"/>
        <v>16</v>
      </c>
      <c r="Z27" s="67">
        <f t="shared" si="8"/>
        <v>34</v>
      </c>
    </row>
    <row r="28" spans="1:26" ht="24.95" customHeight="1">
      <c r="A28" s="30">
        <v>16</v>
      </c>
      <c r="B28" s="30" t="s">
        <v>107</v>
      </c>
      <c r="C28" s="31" t="s">
        <v>108</v>
      </c>
      <c r="D28" s="68">
        <v>5</v>
      </c>
      <c r="E28" s="69">
        <v>5</v>
      </c>
      <c r="F28" s="70">
        <v>5</v>
      </c>
      <c r="G28" s="62">
        <f>SUM(LARGE(D28:F28,{1,2}))</f>
        <v>10</v>
      </c>
      <c r="H28" s="62">
        <f t="shared" si="0"/>
        <v>5</v>
      </c>
      <c r="I28" s="63">
        <f t="shared" si="1"/>
        <v>5</v>
      </c>
      <c r="J28" s="68">
        <v>25</v>
      </c>
      <c r="K28" s="71">
        <v>25</v>
      </c>
      <c r="L28" s="70">
        <v>24</v>
      </c>
      <c r="M28" s="62">
        <f>SUM(LARGE(J28:L28,{1,2}))</f>
        <v>50</v>
      </c>
      <c r="N28" s="62">
        <f t="shared" si="2"/>
        <v>5</v>
      </c>
      <c r="O28" s="63">
        <f t="shared" si="3"/>
        <v>5</v>
      </c>
      <c r="P28" s="63">
        <v>5</v>
      </c>
      <c r="Q28" s="72">
        <v>73</v>
      </c>
      <c r="R28" s="64">
        <f t="shared" si="4"/>
        <v>0</v>
      </c>
      <c r="S28" s="65">
        <f t="shared" si="5"/>
        <v>15</v>
      </c>
      <c r="T28" s="68">
        <v>34</v>
      </c>
      <c r="U28" s="68">
        <v>48</v>
      </c>
      <c r="V28" s="68">
        <v>58</v>
      </c>
      <c r="W28" s="62">
        <f>SUM(LARGE(T28:V28,{1,2}))</f>
        <v>106</v>
      </c>
      <c r="X28" s="62">
        <f t="shared" si="6"/>
        <v>10.6</v>
      </c>
      <c r="Y28" s="66">
        <f t="shared" si="7"/>
        <v>11</v>
      </c>
      <c r="Z28" s="67">
        <f t="shared" si="8"/>
        <v>26</v>
      </c>
    </row>
    <row r="29" spans="1:26" ht="24.95" customHeight="1">
      <c r="A29" s="30">
        <v>17</v>
      </c>
      <c r="B29" s="30" t="s">
        <v>109</v>
      </c>
      <c r="C29" s="31" t="s">
        <v>110</v>
      </c>
      <c r="D29" s="68">
        <v>5</v>
      </c>
      <c r="E29" s="69">
        <v>5</v>
      </c>
      <c r="F29" s="70">
        <v>5</v>
      </c>
      <c r="G29" s="62">
        <f>SUM(LARGE(D29:F29,{1,2}))</f>
        <v>10</v>
      </c>
      <c r="H29" s="62">
        <f t="shared" si="0"/>
        <v>5</v>
      </c>
      <c r="I29" s="63">
        <f t="shared" si="1"/>
        <v>5</v>
      </c>
      <c r="J29" s="68">
        <v>25</v>
      </c>
      <c r="K29" s="71">
        <v>25</v>
      </c>
      <c r="L29" s="70">
        <v>25</v>
      </c>
      <c r="M29" s="62">
        <f>SUM(LARGE(J29:L29,{1,2}))</f>
        <v>50</v>
      </c>
      <c r="N29" s="62">
        <f t="shared" si="2"/>
        <v>5</v>
      </c>
      <c r="O29" s="63">
        <f t="shared" si="3"/>
        <v>5</v>
      </c>
      <c r="P29" s="63">
        <v>5</v>
      </c>
      <c r="Q29" s="68">
        <v>91</v>
      </c>
      <c r="R29" s="64">
        <f t="shared" si="4"/>
        <v>4</v>
      </c>
      <c r="S29" s="65">
        <f t="shared" si="5"/>
        <v>19</v>
      </c>
      <c r="T29" s="68">
        <v>78</v>
      </c>
      <c r="U29" s="68">
        <v>84</v>
      </c>
      <c r="V29" s="68" t="s">
        <v>177</v>
      </c>
      <c r="W29" s="62">
        <f>SUM(LARGE(T29:V29,{1,2}))</f>
        <v>162</v>
      </c>
      <c r="X29" s="62">
        <f t="shared" si="6"/>
        <v>16.2</v>
      </c>
      <c r="Y29" s="66">
        <f t="shared" si="7"/>
        <v>17</v>
      </c>
      <c r="Z29" s="67">
        <f t="shared" si="8"/>
        <v>36</v>
      </c>
    </row>
    <row r="30" spans="1:26" ht="24.95" customHeight="1">
      <c r="A30" s="30">
        <v>18</v>
      </c>
      <c r="B30" s="30" t="s">
        <v>111</v>
      </c>
      <c r="C30" s="31" t="s">
        <v>112</v>
      </c>
      <c r="D30" s="68">
        <v>5</v>
      </c>
      <c r="E30" s="69">
        <v>5</v>
      </c>
      <c r="F30" s="70">
        <v>5</v>
      </c>
      <c r="G30" s="62">
        <f>SUM(LARGE(D30:F30,{1,2}))</f>
        <v>10</v>
      </c>
      <c r="H30" s="62">
        <f t="shared" si="0"/>
        <v>5</v>
      </c>
      <c r="I30" s="63">
        <f t="shared" si="1"/>
        <v>5</v>
      </c>
      <c r="J30" s="68">
        <v>25</v>
      </c>
      <c r="K30" s="71">
        <v>25</v>
      </c>
      <c r="L30" s="70">
        <v>25</v>
      </c>
      <c r="M30" s="62">
        <f>SUM(LARGE(J30:L30,{1,2}))</f>
        <v>50</v>
      </c>
      <c r="N30" s="62">
        <f t="shared" si="2"/>
        <v>5</v>
      </c>
      <c r="O30" s="63">
        <f t="shared" si="3"/>
        <v>5</v>
      </c>
      <c r="P30" s="63">
        <v>5</v>
      </c>
      <c r="Q30" s="68">
        <v>84</v>
      </c>
      <c r="R30" s="64">
        <f t="shared" si="4"/>
        <v>2</v>
      </c>
      <c r="S30" s="65">
        <f t="shared" si="5"/>
        <v>17</v>
      </c>
      <c r="T30" s="68">
        <v>44</v>
      </c>
      <c r="U30" s="68">
        <v>80</v>
      </c>
      <c r="V30" s="68" t="s">
        <v>177</v>
      </c>
      <c r="W30" s="62">
        <f>SUM(LARGE(T30:V30,{1,2}))</f>
        <v>124</v>
      </c>
      <c r="X30" s="62">
        <f t="shared" si="6"/>
        <v>12.4</v>
      </c>
      <c r="Y30" s="66">
        <f t="shared" si="7"/>
        <v>13</v>
      </c>
      <c r="Z30" s="67">
        <f t="shared" si="8"/>
        <v>30</v>
      </c>
    </row>
    <row r="31" spans="1:26" ht="24.95" customHeight="1">
      <c r="A31" s="30">
        <v>19</v>
      </c>
      <c r="B31" s="30" t="s">
        <v>113</v>
      </c>
      <c r="C31" s="31" t="s">
        <v>114</v>
      </c>
      <c r="D31" s="68">
        <v>5</v>
      </c>
      <c r="E31" s="69">
        <v>5</v>
      </c>
      <c r="F31" s="70">
        <v>5</v>
      </c>
      <c r="G31" s="62">
        <f>SUM(LARGE(D31:F31,{1,2}))</f>
        <v>10</v>
      </c>
      <c r="H31" s="62">
        <f t="shared" si="0"/>
        <v>5</v>
      </c>
      <c r="I31" s="63">
        <f t="shared" si="1"/>
        <v>5</v>
      </c>
      <c r="J31" s="68">
        <v>25</v>
      </c>
      <c r="K31" s="71">
        <v>25</v>
      </c>
      <c r="L31" s="70">
        <v>25</v>
      </c>
      <c r="M31" s="62">
        <f>SUM(LARGE(J31:L31,{1,2}))</f>
        <v>50</v>
      </c>
      <c r="N31" s="62">
        <f t="shared" si="2"/>
        <v>5</v>
      </c>
      <c r="O31" s="63">
        <f t="shared" si="3"/>
        <v>5</v>
      </c>
      <c r="P31" s="63">
        <v>5</v>
      </c>
      <c r="Q31" s="68">
        <v>91</v>
      </c>
      <c r="R31" s="64">
        <f t="shared" si="4"/>
        <v>4</v>
      </c>
      <c r="S31" s="65">
        <f t="shared" si="5"/>
        <v>19</v>
      </c>
      <c r="T31" s="68">
        <v>74</v>
      </c>
      <c r="U31" s="68">
        <v>84</v>
      </c>
      <c r="V31" s="68">
        <v>60</v>
      </c>
      <c r="W31" s="62">
        <f>SUM(LARGE(T31:V31,{1,2}))</f>
        <v>158</v>
      </c>
      <c r="X31" s="62">
        <f t="shared" si="6"/>
        <v>15.8</v>
      </c>
      <c r="Y31" s="66">
        <f t="shared" si="7"/>
        <v>16</v>
      </c>
      <c r="Z31" s="67">
        <f t="shared" si="8"/>
        <v>35</v>
      </c>
    </row>
    <row r="32" spans="1:26" ht="24.95" customHeight="1">
      <c r="A32" s="30">
        <v>20</v>
      </c>
      <c r="B32" s="30" t="s">
        <v>115</v>
      </c>
      <c r="C32" s="31" t="s">
        <v>116</v>
      </c>
      <c r="D32" s="68">
        <v>5</v>
      </c>
      <c r="E32" s="69">
        <v>5</v>
      </c>
      <c r="F32" s="70">
        <v>5</v>
      </c>
      <c r="G32" s="62">
        <f>SUM(LARGE(D32:F32,{1,2}))</f>
        <v>10</v>
      </c>
      <c r="H32" s="62">
        <f t="shared" si="0"/>
        <v>5</v>
      </c>
      <c r="I32" s="63">
        <f t="shared" si="1"/>
        <v>5</v>
      </c>
      <c r="J32" s="68">
        <v>25</v>
      </c>
      <c r="K32" s="71">
        <v>25</v>
      </c>
      <c r="L32" s="70">
        <v>25</v>
      </c>
      <c r="M32" s="62">
        <f>SUM(LARGE(J32:L32,{1,2}))</f>
        <v>50</v>
      </c>
      <c r="N32" s="62">
        <f t="shared" si="2"/>
        <v>5</v>
      </c>
      <c r="O32" s="63">
        <f t="shared" si="3"/>
        <v>5</v>
      </c>
      <c r="P32" s="63">
        <v>5</v>
      </c>
      <c r="Q32" s="68">
        <v>90</v>
      </c>
      <c r="R32" s="64">
        <f t="shared" si="4"/>
        <v>4</v>
      </c>
      <c r="S32" s="65">
        <f t="shared" si="5"/>
        <v>19</v>
      </c>
      <c r="T32" s="68">
        <v>70</v>
      </c>
      <c r="U32" s="68">
        <v>76</v>
      </c>
      <c r="V32" s="68">
        <v>73</v>
      </c>
      <c r="W32" s="62">
        <f>SUM(LARGE(T32:V32,{1,2}))</f>
        <v>149</v>
      </c>
      <c r="X32" s="62">
        <f t="shared" si="6"/>
        <v>14.9</v>
      </c>
      <c r="Y32" s="66">
        <f t="shared" si="7"/>
        <v>15</v>
      </c>
      <c r="Z32" s="67">
        <f t="shared" si="8"/>
        <v>34</v>
      </c>
    </row>
    <row r="33" spans="1:26" ht="24.95" customHeight="1">
      <c r="A33" s="30">
        <v>21</v>
      </c>
      <c r="B33" s="30" t="s">
        <v>117</v>
      </c>
      <c r="C33" s="31" t="s">
        <v>118</v>
      </c>
      <c r="D33" s="68">
        <v>5</v>
      </c>
      <c r="E33" s="69">
        <v>5</v>
      </c>
      <c r="F33" s="70">
        <v>5</v>
      </c>
      <c r="G33" s="62">
        <f>SUM(LARGE(D33:F33,{1,2}))</f>
        <v>10</v>
      </c>
      <c r="H33" s="62">
        <f t="shared" si="0"/>
        <v>5</v>
      </c>
      <c r="I33" s="63">
        <f t="shared" si="1"/>
        <v>5</v>
      </c>
      <c r="J33" s="68">
        <v>25</v>
      </c>
      <c r="K33" s="71">
        <v>25</v>
      </c>
      <c r="L33" s="70">
        <v>25</v>
      </c>
      <c r="M33" s="62">
        <f>SUM(LARGE(J33:L33,{1,2}))</f>
        <v>50</v>
      </c>
      <c r="N33" s="62">
        <f t="shared" si="2"/>
        <v>5</v>
      </c>
      <c r="O33" s="63">
        <f t="shared" si="3"/>
        <v>5</v>
      </c>
      <c r="P33" s="63">
        <v>5</v>
      </c>
      <c r="Q33" s="68">
        <v>86</v>
      </c>
      <c r="R33" s="64">
        <f t="shared" si="4"/>
        <v>3</v>
      </c>
      <c r="S33" s="65">
        <f t="shared" si="5"/>
        <v>18</v>
      </c>
      <c r="T33" s="68">
        <v>64</v>
      </c>
      <c r="U33" s="68">
        <v>64</v>
      </c>
      <c r="V33" s="68">
        <v>60</v>
      </c>
      <c r="W33" s="62">
        <f>SUM(LARGE(T33:V33,{1,2}))</f>
        <v>128</v>
      </c>
      <c r="X33" s="62">
        <f t="shared" si="6"/>
        <v>12.8</v>
      </c>
      <c r="Y33" s="66">
        <f t="shared" si="7"/>
        <v>13</v>
      </c>
      <c r="Z33" s="67">
        <f t="shared" si="8"/>
        <v>31</v>
      </c>
    </row>
    <row r="34" spans="1:26" ht="24.95" customHeight="1">
      <c r="A34" s="30">
        <v>22</v>
      </c>
      <c r="B34" s="30" t="s">
        <v>119</v>
      </c>
      <c r="C34" s="31" t="s">
        <v>120</v>
      </c>
      <c r="D34" s="68">
        <v>5</v>
      </c>
      <c r="E34" s="69">
        <v>5</v>
      </c>
      <c r="F34" s="70">
        <v>5</v>
      </c>
      <c r="G34" s="62">
        <f>SUM(LARGE(D34:F34,{1,2}))</f>
        <v>10</v>
      </c>
      <c r="H34" s="62">
        <f t="shared" si="0"/>
        <v>5</v>
      </c>
      <c r="I34" s="63">
        <f t="shared" si="1"/>
        <v>5</v>
      </c>
      <c r="J34" s="68">
        <v>25</v>
      </c>
      <c r="K34" s="71">
        <v>25</v>
      </c>
      <c r="L34" s="70">
        <v>25</v>
      </c>
      <c r="M34" s="62">
        <f>SUM(LARGE(J34:L34,{1,2}))</f>
        <v>50</v>
      </c>
      <c r="N34" s="62">
        <f t="shared" si="2"/>
        <v>5</v>
      </c>
      <c r="O34" s="63">
        <f t="shared" si="3"/>
        <v>5</v>
      </c>
      <c r="P34" s="63">
        <v>5</v>
      </c>
      <c r="Q34" s="68">
        <v>82</v>
      </c>
      <c r="R34" s="64">
        <f t="shared" si="4"/>
        <v>2</v>
      </c>
      <c r="S34" s="65">
        <f t="shared" si="5"/>
        <v>17</v>
      </c>
      <c r="T34" s="68">
        <v>46</v>
      </c>
      <c r="U34" s="68">
        <v>48</v>
      </c>
      <c r="V34" s="68">
        <v>60</v>
      </c>
      <c r="W34" s="62">
        <f>SUM(LARGE(T34:V34,{1,2}))</f>
        <v>108</v>
      </c>
      <c r="X34" s="62">
        <f t="shared" si="6"/>
        <v>10.8</v>
      </c>
      <c r="Y34" s="66">
        <f t="shared" si="7"/>
        <v>11</v>
      </c>
      <c r="Z34" s="67">
        <f t="shared" si="8"/>
        <v>28</v>
      </c>
    </row>
    <row r="35" spans="1:26" ht="24.95" customHeight="1">
      <c r="A35" s="30">
        <v>23</v>
      </c>
      <c r="B35" s="30" t="s">
        <v>121</v>
      </c>
      <c r="C35" s="31" t="s">
        <v>122</v>
      </c>
      <c r="D35" s="68">
        <v>5</v>
      </c>
      <c r="E35" s="69">
        <v>5</v>
      </c>
      <c r="F35" s="70">
        <v>5</v>
      </c>
      <c r="G35" s="62">
        <f>SUM(LARGE(D35:F35,{1,2}))</f>
        <v>10</v>
      </c>
      <c r="H35" s="62">
        <f t="shared" si="0"/>
        <v>5</v>
      </c>
      <c r="I35" s="63">
        <f t="shared" si="1"/>
        <v>5</v>
      </c>
      <c r="J35" s="68">
        <v>25</v>
      </c>
      <c r="K35" s="71">
        <v>25</v>
      </c>
      <c r="L35" s="70">
        <v>25</v>
      </c>
      <c r="M35" s="62">
        <f>SUM(LARGE(J35:L35,{1,2}))</f>
        <v>50</v>
      </c>
      <c r="N35" s="62">
        <f t="shared" si="2"/>
        <v>5</v>
      </c>
      <c r="O35" s="63">
        <f t="shared" si="3"/>
        <v>5</v>
      </c>
      <c r="P35" s="63">
        <v>5</v>
      </c>
      <c r="Q35" s="68">
        <v>96</v>
      </c>
      <c r="R35" s="64">
        <f t="shared" si="4"/>
        <v>5</v>
      </c>
      <c r="S35" s="65">
        <f t="shared" si="5"/>
        <v>20</v>
      </c>
      <c r="T35" s="68">
        <v>86</v>
      </c>
      <c r="U35" s="68">
        <v>94</v>
      </c>
      <c r="V35" s="68">
        <v>78</v>
      </c>
      <c r="W35" s="62">
        <f>SUM(LARGE(T35:V35,{1,2}))</f>
        <v>180</v>
      </c>
      <c r="X35" s="62">
        <f t="shared" si="6"/>
        <v>18</v>
      </c>
      <c r="Y35" s="66">
        <f t="shared" si="7"/>
        <v>18</v>
      </c>
      <c r="Z35" s="67">
        <f t="shared" si="8"/>
        <v>38</v>
      </c>
    </row>
    <row r="36" spans="1:26" ht="24.95" customHeight="1">
      <c r="A36" s="30">
        <v>24</v>
      </c>
      <c r="B36" s="30" t="s">
        <v>123</v>
      </c>
      <c r="C36" s="31" t="s">
        <v>124</v>
      </c>
      <c r="D36" s="68">
        <v>5</v>
      </c>
      <c r="E36" s="69">
        <v>5</v>
      </c>
      <c r="F36" s="70">
        <v>5</v>
      </c>
      <c r="G36" s="62">
        <f>SUM(LARGE(D36:F36,{1,2}))</f>
        <v>10</v>
      </c>
      <c r="H36" s="62">
        <f t="shared" si="0"/>
        <v>5</v>
      </c>
      <c r="I36" s="63">
        <f t="shared" si="1"/>
        <v>5</v>
      </c>
      <c r="J36" s="68">
        <v>25</v>
      </c>
      <c r="K36" s="71">
        <v>25</v>
      </c>
      <c r="L36" s="70">
        <v>25</v>
      </c>
      <c r="M36" s="62">
        <f>SUM(LARGE(J36:L36,{1,2}))</f>
        <v>50</v>
      </c>
      <c r="N36" s="62">
        <f t="shared" si="2"/>
        <v>5</v>
      </c>
      <c r="O36" s="63">
        <f t="shared" si="3"/>
        <v>5</v>
      </c>
      <c r="P36" s="63">
        <v>5</v>
      </c>
      <c r="Q36" s="68">
        <v>90</v>
      </c>
      <c r="R36" s="64">
        <f t="shared" si="4"/>
        <v>4</v>
      </c>
      <c r="S36" s="65">
        <f t="shared" si="5"/>
        <v>19</v>
      </c>
      <c r="T36" s="68">
        <v>42</v>
      </c>
      <c r="U36" s="68">
        <v>88</v>
      </c>
      <c r="V36" s="68">
        <v>75</v>
      </c>
      <c r="W36" s="62">
        <f>SUM(LARGE(T36:V36,{1,2}))</f>
        <v>163</v>
      </c>
      <c r="X36" s="62">
        <f t="shared" si="6"/>
        <v>16.3</v>
      </c>
      <c r="Y36" s="66">
        <f t="shared" si="7"/>
        <v>17</v>
      </c>
      <c r="Z36" s="67">
        <f t="shared" si="8"/>
        <v>36</v>
      </c>
    </row>
    <row r="37" spans="1:26" ht="24.95" customHeight="1">
      <c r="A37" s="30">
        <v>25</v>
      </c>
      <c r="B37" s="30" t="s">
        <v>125</v>
      </c>
      <c r="C37" s="31" t="s">
        <v>126</v>
      </c>
      <c r="D37" s="68">
        <v>5</v>
      </c>
      <c r="E37" s="69">
        <v>5</v>
      </c>
      <c r="F37" s="70">
        <v>5</v>
      </c>
      <c r="G37" s="62">
        <f>SUM(LARGE(D37:F37,{1,2}))</f>
        <v>10</v>
      </c>
      <c r="H37" s="62">
        <f t="shared" si="0"/>
        <v>5</v>
      </c>
      <c r="I37" s="63">
        <f t="shared" si="1"/>
        <v>5</v>
      </c>
      <c r="J37" s="68">
        <v>25</v>
      </c>
      <c r="K37" s="71">
        <v>25</v>
      </c>
      <c r="L37" s="70">
        <v>25</v>
      </c>
      <c r="M37" s="62">
        <f>SUM(LARGE(J37:L37,{1,2}))</f>
        <v>50</v>
      </c>
      <c r="N37" s="62">
        <f t="shared" si="2"/>
        <v>5</v>
      </c>
      <c r="O37" s="63">
        <f t="shared" si="3"/>
        <v>5</v>
      </c>
      <c r="P37" s="63">
        <v>5</v>
      </c>
      <c r="Q37" s="68">
        <v>90</v>
      </c>
      <c r="R37" s="64">
        <f t="shared" si="4"/>
        <v>4</v>
      </c>
      <c r="S37" s="65">
        <f t="shared" si="5"/>
        <v>19</v>
      </c>
      <c r="T37" s="68">
        <v>44</v>
      </c>
      <c r="U37" s="68">
        <v>46</v>
      </c>
      <c r="V37" s="68">
        <v>48</v>
      </c>
      <c r="W37" s="62">
        <f>SUM(LARGE(T37:V37,{1,2}))</f>
        <v>94</v>
      </c>
      <c r="X37" s="62">
        <f t="shared" si="6"/>
        <v>9.4</v>
      </c>
      <c r="Y37" s="66">
        <f t="shared" si="7"/>
        <v>10</v>
      </c>
      <c r="Z37" s="67">
        <f t="shared" si="8"/>
        <v>29</v>
      </c>
    </row>
    <row r="38" spans="1:26" ht="24.95" customHeight="1">
      <c r="A38" s="30">
        <v>26</v>
      </c>
      <c r="B38" s="30" t="s">
        <v>127</v>
      </c>
      <c r="C38" s="31" t="s">
        <v>128</v>
      </c>
      <c r="D38" s="68">
        <v>5</v>
      </c>
      <c r="E38" s="69">
        <v>5</v>
      </c>
      <c r="F38" s="70">
        <v>5</v>
      </c>
      <c r="G38" s="62">
        <f>SUM(LARGE(D38:F38,{1,2}))</f>
        <v>10</v>
      </c>
      <c r="H38" s="62">
        <f t="shared" si="0"/>
        <v>5</v>
      </c>
      <c r="I38" s="63">
        <f t="shared" si="1"/>
        <v>5</v>
      </c>
      <c r="J38" s="68">
        <v>25</v>
      </c>
      <c r="K38" s="71">
        <v>25</v>
      </c>
      <c r="L38" s="70">
        <v>25</v>
      </c>
      <c r="M38" s="62">
        <f>SUM(LARGE(J38:L38,{1,2}))</f>
        <v>50</v>
      </c>
      <c r="N38" s="62">
        <f t="shared" si="2"/>
        <v>5</v>
      </c>
      <c r="O38" s="63">
        <f t="shared" si="3"/>
        <v>5</v>
      </c>
      <c r="P38" s="63">
        <v>5</v>
      </c>
      <c r="Q38" s="68">
        <v>84</v>
      </c>
      <c r="R38" s="64">
        <f t="shared" si="4"/>
        <v>2</v>
      </c>
      <c r="S38" s="65">
        <f t="shared" si="5"/>
        <v>17</v>
      </c>
      <c r="T38" s="68">
        <v>44</v>
      </c>
      <c r="U38" s="68">
        <v>64</v>
      </c>
      <c r="V38" s="68">
        <v>58</v>
      </c>
      <c r="W38" s="62">
        <f>SUM(LARGE(T38:V38,{1,2}))</f>
        <v>122</v>
      </c>
      <c r="X38" s="62">
        <f t="shared" si="6"/>
        <v>12.2</v>
      </c>
      <c r="Y38" s="66">
        <f t="shared" si="7"/>
        <v>13</v>
      </c>
      <c r="Z38" s="67">
        <f t="shared" si="8"/>
        <v>30</v>
      </c>
    </row>
    <row r="39" spans="1:26" ht="24.95" customHeight="1">
      <c r="A39" s="30">
        <v>27</v>
      </c>
      <c r="B39" s="30" t="s">
        <v>129</v>
      </c>
      <c r="C39" s="31" t="s">
        <v>130</v>
      </c>
      <c r="D39" s="68">
        <v>5</v>
      </c>
      <c r="E39" s="69">
        <v>5</v>
      </c>
      <c r="F39" s="70">
        <v>5</v>
      </c>
      <c r="G39" s="62">
        <f>SUM(LARGE(D39:F39,{1,2}))</f>
        <v>10</v>
      </c>
      <c r="H39" s="62">
        <f t="shared" si="0"/>
        <v>5</v>
      </c>
      <c r="I39" s="63">
        <f t="shared" si="1"/>
        <v>5</v>
      </c>
      <c r="J39" s="68">
        <v>25</v>
      </c>
      <c r="K39" s="71">
        <v>25</v>
      </c>
      <c r="L39" s="70">
        <v>25</v>
      </c>
      <c r="M39" s="62">
        <f>SUM(LARGE(J39:L39,{1,2}))</f>
        <v>50</v>
      </c>
      <c r="N39" s="62">
        <f t="shared" si="2"/>
        <v>5</v>
      </c>
      <c r="O39" s="63">
        <f t="shared" si="3"/>
        <v>5</v>
      </c>
      <c r="P39" s="63">
        <v>5</v>
      </c>
      <c r="Q39" s="68">
        <v>86</v>
      </c>
      <c r="R39" s="64">
        <f t="shared" si="4"/>
        <v>3</v>
      </c>
      <c r="S39" s="65">
        <f t="shared" si="5"/>
        <v>18</v>
      </c>
      <c r="T39" s="68">
        <v>64</v>
      </c>
      <c r="U39" s="68">
        <v>60</v>
      </c>
      <c r="V39" s="68">
        <v>50</v>
      </c>
      <c r="W39" s="62">
        <f>SUM(LARGE(T39:V39,{1,2}))</f>
        <v>124</v>
      </c>
      <c r="X39" s="62">
        <f t="shared" si="6"/>
        <v>12.4</v>
      </c>
      <c r="Y39" s="66">
        <f t="shared" si="7"/>
        <v>13</v>
      </c>
      <c r="Z39" s="67">
        <f t="shared" si="8"/>
        <v>31</v>
      </c>
    </row>
    <row r="40" spans="1:26" ht="24.95" customHeight="1">
      <c r="A40" s="30">
        <v>28</v>
      </c>
      <c r="B40" s="30" t="s">
        <v>131</v>
      </c>
      <c r="C40" s="31" t="s">
        <v>132</v>
      </c>
      <c r="D40" s="68">
        <v>5</v>
      </c>
      <c r="E40" s="69">
        <v>5</v>
      </c>
      <c r="F40" s="70">
        <v>5</v>
      </c>
      <c r="G40" s="62">
        <f>SUM(LARGE(D40:F40,{1,2}))</f>
        <v>10</v>
      </c>
      <c r="H40" s="62">
        <f t="shared" si="0"/>
        <v>5</v>
      </c>
      <c r="I40" s="63">
        <f t="shared" si="1"/>
        <v>5</v>
      </c>
      <c r="J40" s="68">
        <v>25</v>
      </c>
      <c r="K40" s="71">
        <v>25</v>
      </c>
      <c r="L40" s="70">
        <v>25</v>
      </c>
      <c r="M40" s="62">
        <f>SUM(LARGE(J40:L40,{1,2}))</f>
        <v>50</v>
      </c>
      <c r="N40" s="62">
        <f t="shared" si="2"/>
        <v>5</v>
      </c>
      <c r="O40" s="63">
        <f t="shared" si="3"/>
        <v>5</v>
      </c>
      <c r="P40" s="63">
        <v>5</v>
      </c>
      <c r="Q40" s="68">
        <v>83</v>
      </c>
      <c r="R40" s="64">
        <f t="shared" si="4"/>
        <v>2</v>
      </c>
      <c r="S40" s="65">
        <f t="shared" si="5"/>
        <v>17</v>
      </c>
      <c r="T40" s="68">
        <v>76</v>
      </c>
      <c r="U40" s="68">
        <v>76</v>
      </c>
      <c r="V40" s="68">
        <v>40</v>
      </c>
      <c r="W40" s="62">
        <f>SUM(LARGE(T40:V40,{1,2}))</f>
        <v>152</v>
      </c>
      <c r="X40" s="62">
        <f t="shared" si="6"/>
        <v>15.2</v>
      </c>
      <c r="Y40" s="66">
        <f t="shared" si="7"/>
        <v>16</v>
      </c>
      <c r="Z40" s="67">
        <f t="shared" si="8"/>
        <v>33</v>
      </c>
    </row>
    <row r="41" spans="1:26" ht="24.95" customHeight="1">
      <c r="A41" s="30">
        <v>29</v>
      </c>
      <c r="B41" s="30" t="s">
        <v>133</v>
      </c>
      <c r="C41" s="31" t="s">
        <v>134</v>
      </c>
      <c r="D41" s="68">
        <v>5</v>
      </c>
      <c r="E41" s="69">
        <v>5</v>
      </c>
      <c r="F41" s="70">
        <v>5</v>
      </c>
      <c r="G41" s="62">
        <f>SUM(LARGE(D41:F41,{1,2}))</f>
        <v>10</v>
      </c>
      <c r="H41" s="62">
        <f t="shared" si="0"/>
        <v>5</v>
      </c>
      <c r="I41" s="63">
        <f t="shared" si="1"/>
        <v>5</v>
      </c>
      <c r="J41" s="68">
        <v>25</v>
      </c>
      <c r="K41" s="71">
        <v>25</v>
      </c>
      <c r="L41" s="70">
        <v>25</v>
      </c>
      <c r="M41" s="62">
        <f>SUM(LARGE(J41:L41,{1,2}))</f>
        <v>50</v>
      </c>
      <c r="N41" s="62">
        <f t="shared" si="2"/>
        <v>5</v>
      </c>
      <c r="O41" s="63">
        <f t="shared" si="3"/>
        <v>5</v>
      </c>
      <c r="P41" s="63">
        <v>5</v>
      </c>
      <c r="Q41" s="68">
        <v>84</v>
      </c>
      <c r="R41" s="64">
        <f t="shared" si="4"/>
        <v>2</v>
      </c>
      <c r="S41" s="65">
        <f t="shared" si="5"/>
        <v>17</v>
      </c>
      <c r="T41" s="68">
        <v>68</v>
      </c>
      <c r="U41" s="68">
        <v>64</v>
      </c>
      <c r="V41" s="68" t="s">
        <v>177</v>
      </c>
      <c r="W41" s="62">
        <f>SUM(LARGE(T41:V41,{1,2}))</f>
        <v>132</v>
      </c>
      <c r="X41" s="62">
        <f t="shared" si="6"/>
        <v>13.2</v>
      </c>
      <c r="Y41" s="66">
        <f t="shared" si="7"/>
        <v>14</v>
      </c>
      <c r="Z41" s="67">
        <f t="shared" si="8"/>
        <v>31</v>
      </c>
    </row>
    <row r="42" spans="1:26" ht="24.95" customHeight="1">
      <c r="A42" s="30">
        <v>30</v>
      </c>
      <c r="B42" s="30" t="s">
        <v>135</v>
      </c>
      <c r="C42" s="31" t="s">
        <v>136</v>
      </c>
      <c r="D42" s="68">
        <v>5</v>
      </c>
      <c r="E42" s="69">
        <v>5</v>
      </c>
      <c r="F42" s="70">
        <v>5</v>
      </c>
      <c r="G42" s="62">
        <f>SUM(LARGE(D42:F42,{1,2}))</f>
        <v>10</v>
      </c>
      <c r="H42" s="62">
        <f t="shared" si="0"/>
        <v>5</v>
      </c>
      <c r="I42" s="63">
        <f t="shared" si="1"/>
        <v>5</v>
      </c>
      <c r="J42" s="68">
        <v>25</v>
      </c>
      <c r="K42" s="71">
        <v>25</v>
      </c>
      <c r="L42" s="70">
        <v>25</v>
      </c>
      <c r="M42" s="62">
        <f>SUM(LARGE(J42:L42,{1,2}))</f>
        <v>50</v>
      </c>
      <c r="N42" s="62">
        <f t="shared" si="2"/>
        <v>5</v>
      </c>
      <c r="O42" s="63">
        <f t="shared" si="3"/>
        <v>5</v>
      </c>
      <c r="P42" s="63">
        <v>5</v>
      </c>
      <c r="Q42" s="68">
        <v>96</v>
      </c>
      <c r="R42" s="64">
        <f t="shared" si="4"/>
        <v>5</v>
      </c>
      <c r="S42" s="65">
        <f t="shared" si="5"/>
        <v>20</v>
      </c>
      <c r="T42" s="68">
        <v>90</v>
      </c>
      <c r="U42" s="68">
        <v>78</v>
      </c>
      <c r="V42" s="68" t="s">
        <v>177</v>
      </c>
      <c r="W42" s="62">
        <f>SUM(LARGE(T42:V42,{1,2}))</f>
        <v>168</v>
      </c>
      <c r="X42" s="62">
        <f t="shared" si="6"/>
        <v>16.8</v>
      </c>
      <c r="Y42" s="66">
        <f t="shared" si="7"/>
        <v>17</v>
      </c>
      <c r="Z42" s="67">
        <f t="shared" si="8"/>
        <v>37</v>
      </c>
    </row>
    <row r="43" spans="1:26" ht="24.95" customHeight="1">
      <c r="A43" s="30">
        <v>31</v>
      </c>
      <c r="B43" s="30" t="s">
        <v>137</v>
      </c>
      <c r="C43" s="31" t="s">
        <v>138</v>
      </c>
      <c r="D43" s="68">
        <v>5</v>
      </c>
      <c r="E43" s="69">
        <v>5</v>
      </c>
      <c r="F43" s="70">
        <v>5</v>
      </c>
      <c r="G43" s="62">
        <f>SUM(LARGE(D43:F43,{1,2}))</f>
        <v>10</v>
      </c>
      <c r="H43" s="62">
        <f t="shared" si="0"/>
        <v>5</v>
      </c>
      <c r="I43" s="63">
        <f t="shared" si="1"/>
        <v>5</v>
      </c>
      <c r="J43" s="68">
        <v>25</v>
      </c>
      <c r="K43" s="71">
        <v>25</v>
      </c>
      <c r="L43" s="70">
        <v>25</v>
      </c>
      <c r="M43" s="62">
        <f>SUM(LARGE(J43:L43,{1,2}))</f>
        <v>50</v>
      </c>
      <c r="N43" s="62">
        <f t="shared" si="2"/>
        <v>5</v>
      </c>
      <c r="O43" s="63">
        <f t="shared" si="3"/>
        <v>5</v>
      </c>
      <c r="P43" s="63">
        <v>5</v>
      </c>
      <c r="Q43" s="68">
        <v>87</v>
      </c>
      <c r="R43" s="64">
        <f t="shared" si="4"/>
        <v>3</v>
      </c>
      <c r="S43" s="65">
        <f t="shared" si="5"/>
        <v>18</v>
      </c>
      <c r="T43" s="68">
        <v>82</v>
      </c>
      <c r="U43" s="68">
        <v>82</v>
      </c>
      <c r="V43" s="68" t="s">
        <v>177</v>
      </c>
      <c r="W43" s="62">
        <f>SUM(LARGE(T43:V43,{1,2}))</f>
        <v>164</v>
      </c>
      <c r="X43" s="62">
        <f t="shared" si="6"/>
        <v>16.399999999999999</v>
      </c>
      <c r="Y43" s="66">
        <f t="shared" si="7"/>
        <v>17</v>
      </c>
      <c r="Z43" s="67">
        <f t="shared" si="8"/>
        <v>35</v>
      </c>
    </row>
    <row r="44" spans="1:26" ht="24.95" customHeight="1">
      <c r="A44" s="30">
        <v>32</v>
      </c>
      <c r="B44" s="30" t="s">
        <v>139</v>
      </c>
      <c r="C44" s="31" t="s">
        <v>140</v>
      </c>
      <c r="D44" s="68">
        <v>5</v>
      </c>
      <c r="E44" s="69">
        <v>5</v>
      </c>
      <c r="F44" s="70">
        <v>5</v>
      </c>
      <c r="G44" s="62">
        <f>SUM(LARGE(D44:F44,{1,2}))</f>
        <v>10</v>
      </c>
      <c r="H44" s="62">
        <f t="shared" si="0"/>
        <v>5</v>
      </c>
      <c r="I44" s="63">
        <f t="shared" si="1"/>
        <v>5</v>
      </c>
      <c r="J44" s="68">
        <v>25</v>
      </c>
      <c r="K44" s="71">
        <v>25</v>
      </c>
      <c r="L44" s="70">
        <v>25</v>
      </c>
      <c r="M44" s="62">
        <f>SUM(LARGE(J44:L44,{1,2}))</f>
        <v>50</v>
      </c>
      <c r="N44" s="62">
        <f t="shared" si="2"/>
        <v>5</v>
      </c>
      <c r="O44" s="63">
        <f t="shared" si="3"/>
        <v>5</v>
      </c>
      <c r="P44" s="63">
        <v>5</v>
      </c>
      <c r="Q44" s="68">
        <v>93</v>
      </c>
      <c r="R44" s="64">
        <f t="shared" si="4"/>
        <v>4</v>
      </c>
      <c r="S44" s="65">
        <f t="shared" si="5"/>
        <v>19</v>
      </c>
      <c r="T44" s="68">
        <v>78</v>
      </c>
      <c r="U44" s="68">
        <v>88</v>
      </c>
      <c r="V44" s="68" t="s">
        <v>177</v>
      </c>
      <c r="W44" s="62">
        <f>SUM(LARGE(T44:V44,{1,2}))</f>
        <v>166</v>
      </c>
      <c r="X44" s="62">
        <f t="shared" si="6"/>
        <v>16.600000000000001</v>
      </c>
      <c r="Y44" s="66">
        <f t="shared" si="7"/>
        <v>17</v>
      </c>
      <c r="Z44" s="67">
        <f t="shared" si="8"/>
        <v>36</v>
      </c>
    </row>
    <row r="45" spans="1:26" ht="24.95" customHeight="1">
      <c r="A45" s="30">
        <v>33</v>
      </c>
      <c r="B45" s="30" t="s">
        <v>141</v>
      </c>
      <c r="C45" s="35" t="s">
        <v>142</v>
      </c>
      <c r="D45" s="68">
        <v>5</v>
      </c>
      <c r="E45" s="69">
        <v>5</v>
      </c>
      <c r="F45" s="70">
        <v>5</v>
      </c>
      <c r="G45" s="62">
        <f>SUM(LARGE(D45:F45,{1,2}))</f>
        <v>10</v>
      </c>
      <c r="H45" s="62">
        <f t="shared" si="0"/>
        <v>5</v>
      </c>
      <c r="I45" s="63">
        <f t="shared" si="1"/>
        <v>5</v>
      </c>
      <c r="J45" s="68">
        <v>25</v>
      </c>
      <c r="K45" s="71">
        <v>25</v>
      </c>
      <c r="L45" s="70">
        <v>24</v>
      </c>
      <c r="M45" s="62">
        <f>SUM(LARGE(J45:L45,{1,2}))</f>
        <v>50</v>
      </c>
      <c r="N45" s="62">
        <f t="shared" si="2"/>
        <v>5</v>
      </c>
      <c r="O45" s="63">
        <f t="shared" si="3"/>
        <v>5</v>
      </c>
      <c r="P45" s="63">
        <v>5</v>
      </c>
      <c r="Q45" s="68">
        <v>88</v>
      </c>
      <c r="R45" s="64">
        <f t="shared" si="4"/>
        <v>3</v>
      </c>
      <c r="S45" s="65">
        <f t="shared" si="5"/>
        <v>18</v>
      </c>
      <c r="T45" s="68">
        <v>50</v>
      </c>
      <c r="U45" s="68">
        <v>74</v>
      </c>
      <c r="V45" s="68">
        <v>38</v>
      </c>
      <c r="W45" s="62">
        <f>SUM(LARGE(T45:V45,{1,2}))</f>
        <v>124</v>
      </c>
      <c r="X45" s="62">
        <f t="shared" si="6"/>
        <v>12.4</v>
      </c>
      <c r="Y45" s="66">
        <f t="shared" si="7"/>
        <v>13</v>
      </c>
      <c r="Z45" s="67">
        <f t="shared" si="8"/>
        <v>31</v>
      </c>
    </row>
    <row r="46" spans="1:26" ht="24.95" customHeight="1">
      <c r="A46" s="30">
        <v>34</v>
      </c>
      <c r="B46" s="30" t="s">
        <v>143</v>
      </c>
      <c r="C46" s="31" t="s">
        <v>144</v>
      </c>
      <c r="D46" s="68">
        <v>5</v>
      </c>
      <c r="E46" s="69">
        <v>5</v>
      </c>
      <c r="F46" s="70">
        <v>5</v>
      </c>
      <c r="G46" s="62">
        <f>SUM(LARGE(D46:F46,{1,2}))</f>
        <v>10</v>
      </c>
      <c r="H46" s="62">
        <f t="shared" si="0"/>
        <v>5</v>
      </c>
      <c r="I46" s="63">
        <f t="shared" si="1"/>
        <v>5</v>
      </c>
      <c r="J46" s="68">
        <v>25</v>
      </c>
      <c r="K46" s="71">
        <v>25</v>
      </c>
      <c r="L46" s="70">
        <v>25</v>
      </c>
      <c r="M46" s="62">
        <f>SUM(LARGE(J46:L46,{1,2}))</f>
        <v>50</v>
      </c>
      <c r="N46" s="62">
        <f t="shared" si="2"/>
        <v>5</v>
      </c>
      <c r="O46" s="63">
        <f t="shared" si="3"/>
        <v>5</v>
      </c>
      <c r="P46" s="63">
        <v>5</v>
      </c>
      <c r="Q46" s="68">
        <v>92</v>
      </c>
      <c r="R46" s="64">
        <f t="shared" si="4"/>
        <v>4</v>
      </c>
      <c r="S46" s="65">
        <f t="shared" si="5"/>
        <v>19</v>
      </c>
      <c r="T46" s="68">
        <v>76</v>
      </c>
      <c r="U46" s="68">
        <v>72</v>
      </c>
      <c r="V46" s="68">
        <v>70</v>
      </c>
      <c r="W46" s="62">
        <f>SUM(LARGE(T46:V46,{1,2}))</f>
        <v>148</v>
      </c>
      <c r="X46" s="62">
        <f t="shared" si="6"/>
        <v>14.8</v>
      </c>
      <c r="Y46" s="66">
        <f t="shared" si="7"/>
        <v>15</v>
      </c>
      <c r="Z46" s="67">
        <f t="shared" si="8"/>
        <v>34</v>
      </c>
    </row>
    <row r="47" spans="1:26" ht="24.95" customHeight="1">
      <c r="A47" s="30">
        <v>35</v>
      </c>
      <c r="B47" s="30" t="s">
        <v>145</v>
      </c>
      <c r="C47" s="31" t="s">
        <v>146</v>
      </c>
      <c r="D47" s="68">
        <v>5</v>
      </c>
      <c r="E47" s="69">
        <v>5</v>
      </c>
      <c r="F47" s="70">
        <v>5</v>
      </c>
      <c r="G47" s="62">
        <f>SUM(LARGE(D47:F47,{1,2}))</f>
        <v>10</v>
      </c>
      <c r="H47" s="62">
        <f t="shared" si="0"/>
        <v>5</v>
      </c>
      <c r="I47" s="63">
        <f t="shared" si="1"/>
        <v>5</v>
      </c>
      <c r="J47" s="68">
        <v>25</v>
      </c>
      <c r="K47" s="71">
        <v>25</v>
      </c>
      <c r="L47" s="70">
        <v>25</v>
      </c>
      <c r="M47" s="62">
        <f>SUM(LARGE(J47:L47,{1,2}))</f>
        <v>50</v>
      </c>
      <c r="N47" s="62">
        <f t="shared" si="2"/>
        <v>5</v>
      </c>
      <c r="O47" s="63">
        <f t="shared" si="3"/>
        <v>5</v>
      </c>
      <c r="P47" s="63">
        <v>5</v>
      </c>
      <c r="Q47" s="68">
        <v>99</v>
      </c>
      <c r="R47" s="64">
        <f t="shared" si="4"/>
        <v>5</v>
      </c>
      <c r="S47" s="65">
        <f t="shared" si="5"/>
        <v>20</v>
      </c>
      <c r="T47" s="68">
        <v>50</v>
      </c>
      <c r="U47" s="68">
        <v>54</v>
      </c>
      <c r="V47" s="68">
        <v>53</v>
      </c>
      <c r="W47" s="62">
        <f>SUM(LARGE(T47:V47,{1,2}))</f>
        <v>107</v>
      </c>
      <c r="X47" s="62">
        <f t="shared" si="6"/>
        <v>10.7</v>
      </c>
      <c r="Y47" s="66">
        <f t="shared" si="7"/>
        <v>11</v>
      </c>
      <c r="Z47" s="67">
        <f t="shared" si="8"/>
        <v>31</v>
      </c>
    </row>
    <row r="48" spans="1:26" ht="24.95" customHeight="1">
      <c r="A48" s="30">
        <v>36</v>
      </c>
      <c r="B48" s="30" t="s">
        <v>147</v>
      </c>
      <c r="C48" s="31" t="s">
        <v>148</v>
      </c>
      <c r="D48" s="68">
        <v>5</v>
      </c>
      <c r="E48" s="69">
        <v>5</v>
      </c>
      <c r="F48" s="70">
        <v>5</v>
      </c>
      <c r="G48" s="62">
        <f>SUM(LARGE(D48:F48,{1,2}))</f>
        <v>10</v>
      </c>
      <c r="H48" s="62">
        <f t="shared" si="0"/>
        <v>5</v>
      </c>
      <c r="I48" s="63">
        <f t="shared" si="1"/>
        <v>5</v>
      </c>
      <c r="J48" s="68">
        <v>25</v>
      </c>
      <c r="K48" s="71">
        <v>25</v>
      </c>
      <c r="L48" s="70">
        <v>25</v>
      </c>
      <c r="M48" s="62">
        <f>SUM(LARGE(J48:L48,{1,2}))</f>
        <v>50</v>
      </c>
      <c r="N48" s="62">
        <f t="shared" si="2"/>
        <v>5</v>
      </c>
      <c r="O48" s="63">
        <f t="shared" si="3"/>
        <v>5</v>
      </c>
      <c r="P48" s="63">
        <v>5</v>
      </c>
      <c r="Q48" s="68">
        <v>80</v>
      </c>
      <c r="R48" s="64">
        <f t="shared" si="4"/>
        <v>2</v>
      </c>
      <c r="S48" s="65">
        <f t="shared" si="5"/>
        <v>17</v>
      </c>
      <c r="T48" s="68">
        <v>68</v>
      </c>
      <c r="U48" s="68">
        <v>62</v>
      </c>
      <c r="V48" s="68">
        <v>13</v>
      </c>
      <c r="W48" s="62">
        <f>SUM(LARGE(T48:V48,{1,2}))</f>
        <v>130</v>
      </c>
      <c r="X48" s="62">
        <f t="shared" si="6"/>
        <v>13</v>
      </c>
      <c r="Y48" s="66">
        <f t="shared" si="7"/>
        <v>13</v>
      </c>
      <c r="Z48" s="67">
        <f t="shared" si="8"/>
        <v>30</v>
      </c>
    </row>
    <row r="49" spans="1:26" ht="24.95" customHeight="1">
      <c r="A49" s="30">
        <v>37</v>
      </c>
      <c r="B49" s="30" t="s">
        <v>149</v>
      </c>
      <c r="C49" s="31" t="s">
        <v>150</v>
      </c>
      <c r="D49" s="68">
        <v>5</v>
      </c>
      <c r="E49" s="69">
        <v>5</v>
      </c>
      <c r="F49" s="70">
        <v>5</v>
      </c>
      <c r="G49" s="62">
        <f>SUM(LARGE(D49:F49,{1,2}))</f>
        <v>10</v>
      </c>
      <c r="H49" s="62">
        <f t="shared" si="0"/>
        <v>5</v>
      </c>
      <c r="I49" s="63">
        <f t="shared" si="1"/>
        <v>5</v>
      </c>
      <c r="J49" s="68">
        <v>25</v>
      </c>
      <c r="K49" s="71">
        <v>25</v>
      </c>
      <c r="L49" s="70">
        <v>25</v>
      </c>
      <c r="M49" s="62">
        <f>SUM(LARGE(J49:L49,{1,2}))</f>
        <v>50</v>
      </c>
      <c r="N49" s="62">
        <f t="shared" si="2"/>
        <v>5</v>
      </c>
      <c r="O49" s="63">
        <f t="shared" si="3"/>
        <v>5</v>
      </c>
      <c r="P49" s="63">
        <v>5</v>
      </c>
      <c r="Q49" s="68">
        <v>94</v>
      </c>
      <c r="R49" s="64">
        <f t="shared" si="4"/>
        <v>4</v>
      </c>
      <c r="S49" s="65">
        <f t="shared" si="5"/>
        <v>19</v>
      </c>
      <c r="T49" s="68">
        <v>74</v>
      </c>
      <c r="U49" s="68">
        <v>86</v>
      </c>
      <c r="V49" s="68" t="s">
        <v>177</v>
      </c>
      <c r="W49" s="62">
        <f>SUM(LARGE(T49:V49,{1,2}))</f>
        <v>160</v>
      </c>
      <c r="X49" s="62">
        <f t="shared" si="6"/>
        <v>16</v>
      </c>
      <c r="Y49" s="66">
        <f t="shared" si="7"/>
        <v>16</v>
      </c>
      <c r="Z49" s="67">
        <f t="shared" si="8"/>
        <v>35</v>
      </c>
    </row>
    <row r="50" spans="1:26" ht="24.95" customHeight="1">
      <c r="A50" s="30">
        <v>38</v>
      </c>
      <c r="B50" s="30" t="s">
        <v>151</v>
      </c>
      <c r="C50" s="31" t="s">
        <v>152</v>
      </c>
      <c r="D50" s="68">
        <v>5</v>
      </c>
      <c r="E50" s="69">
        <v>5</v>
      </c>
      <c r="F50" s="70">
        <v>5</v>
      </c>
      <c r="G50" s="62">
        <f>SUM(LARGE(D50:F50,{1,2}))</f>
        <v>10</v>
      </c>
      <c r="H50" s="62">
        <f t="shared" si="0"/>
        <v>5</v>
      </c>
      <c r="I50" s="63">
        <f t="shared" si="1"/>
        <v>5</v>
      </c>
      <c r="J50" s="68">
        <v>25</v>
      </c>
      <c r="K50" s="71">
        <v>25</v>
      </c>
      <c r="L50" s="70">
        <v>25</v>
      </c>
      <c r="M50" s="62">
        <f>SUM(LARGE(J50:L50,{1,2}))</f>
        <v>50</v>
      </c>
      <c r="N50" s="62">
        <f t="shared" si="2"/>
        <v>5</v>
      </c>
      <c r="O50" s="63">
        <f t="shared" si="3"/>
        <v>5</v>
      </c>
      <c r="P50" s="63">
        <v>5</v>
      </c>
      <c r="Q50" s="68">
        <v>87</v>
      </c>
      <c r="R50" s="64">
        <f t="shared" si="4"/>
        <v>3</v>
      </c>
      <c r="S50" s="65">
        <f t="shared" si="5"/>
        <v>18</v>
      </c>
      <c r="T50" s="68">
        <v>82</v>
      </c>
      <c r="U50" s="68">
        <v>64</v>
      </c>
      <c r="V50" s="68">
        <v>70</v>
      </c>
      <c r="W50" s="62">
        <f>SUM(LARGE(T50:V50,{1,2}))</f>
        <v>152</v>
      </c>
      <c r="X50" s="62">
        <f t="shared" si="6"/>
        <v>15.2</v>
      </c>
      <c r="Y50" s="66">
        <f t="shared" si="7"/>
        <v>16</v>
      </c>
      <c r="Z50" s="67">
        <f t="shared" si="8"/>
        <v>34</v>
      </c>
    </row>
    <row r="51" spans="1:26" ht="24.95" customHeight="1">
      <c r="A51" s="30">
        <v>39</v>
      </c>
      <c r="B51" s="30" t="s">
        <v>153</v>
      </c>
      <c r="C51" s="31" t="s">
        <v>154</v>
      </c>
      <c r="D51" s="68">
        <v>5</v>
      </c>
      <c r="E51" s="69">
        <v>5</v>
      </c>
      <c r="F51" s="70">
        <v>5</v>
      </c>
      <c r="G51" s="62">
        <f>SUM(LARGE(D51:F51,{1,2}))</f>
        <v>10</v>
      </c>
      <c r="H51" s="62">
        <f t="shared" si="0"/>
        <v>5</v>
      </c>
      <c r="I51" s="63">
        <f t="shared" si="1"/>
        <v>5</v>
      </c>
      <c r="J51" s="68">
        <v>25</v>
      </c>
      <c r="K51" s="71">
        <v>25</v>
      </c>
      <c r="L51" s="70">
        <v>25</v>
      </c>
      <c r="M51" s="62">
        <f>SUM(LARGE(J51:L51,{1,2}))</f>
        <v>50</v>
      </c>
      <c r="N51" s="62">
        <f t="shared" si="2"/>
        <v>5</v>
      </c>
      <c r="O51" s="63">
        <f t="shared" si="3"/>
        <v>5</v>
      </c>
      <c r="P51" s="63">
        <v>5</v>
      </c>
      <c r="Q51" s="68">
        <v>81</v>
      </c>
      <c r="R51" s="64">
        <f t="shared" si="4"/>
        <v>2</v>
      </c>
      <c r="S51" s="65">
        <f t="shared" si="5"/>
        <v>17</v>
      </c>
      <c r="T51" s="68">
        <v>40</v>
      </c>
      <c r="U51" s="68">
        <v>38</v>
      </c>
      <c r="V51" s="68">
        <v>58</v>
      </c>
      <c r="W51" s="62">
        <f>SUM(LARGE(T51:V51,{1,2}))</f>
        <v>98</v>
      </c>
      <c r="X51" s="62">
        <f t="shared" si="6"/>
        <v>9.8000000000000007</v>
      </c>
      <c r="Y51" s="66">
        <f t="shared" si="7"/>
        <v>10</v>
      </c>
      <c r="Z51" s="67">
        <f t="shared" si="8"/>
        <v>27</v>
      </c>
    </row>
    <row r="52" spans="1:26" ht="24.95" customHeight="1">
      <c r="A52" s="30">
        <v>40</v>
      </c>
      <c r="B52" s="30" t="s">
        <v>155</v>
      </c>
      <c r="C52" s="31" t="s">
        <v>156</v>
      </c>
      <c r="D52" s="68">
        <v>5</v>
      </c>
      <c r="E52" s="69">
        <v>5</v>
      </c>
      <c r="F52" s="70">
        <v>5</v>
      </c>
      <c r="G52" s="62">
        <f>SUM(LARGE(D52:F52,{1,2}))</f>
        <v>10</v>
      </c>
      <c r="H52" s="62">
        <f t="shared" si="0"/>
        <v>5</v>
      </c>
      <c r="I52" s="63">
        <f t="shared" si="1"/>
        <v>5</v>
      </c>
      <c r="J52" s="68">
        <v>25</v>
      </c>
      <c r="K52" s="71">
        <v>25</v>
      </c>
      <c r="L52" s="70">
        <v>25</v>
      </c>
      <c r="M52" s="62">
        <f>SUM(LARGE(J52:L52,{1,2}))</f>
        <v>50</v>
      </c>
      <c r="N52" s="62">
        <f t="shared" si="2"/>
        <v>5</v>
      </c>
      <c r="O52" s="63">
        <f t="shared" si="3"/>
        <v>5</v>
      </c>
      <c r="P52" s="63">
        <v>5</v>
      </c>
      <c r="Q52" s="68">
        <v>88</v>
      </c>
      <c r="R52" s="64">
        <f t="shared" si="4"/>
        <v>3</v>
      </c>
      <c r="S52" s="65">
        <f t="shared" si="5"/>
        <v>18</v>
      </c>
      <c r="T52" s="68">
        <v>86</v>
      </c>
      <c r="U52" s="68">
        <v>94</v>
      </c>
      <c r="V52" s="68">
        <v>48</v>
      </c>
      <c r="W52" s="62">
        <f>SUM(LARGE(T52:V52,{1,2}))</f>
        <v>180</v>
      </c>
      <c r="X52" s="62">
        <f t="shared" si="6"/>
        <v>18</v>
      </c>
      <c r="Y52" s="66">
        <f t="shared" si="7"/>
        <v>18</v>
      </c>
      <c r="Z52" s="67">
        <f t="shared" si="8"/>
        <v>36</v>
      </c>
    </row>
    <row r="53" spans="1:26" ht="24.95" customHeight="1">
      <c r="A53" s="30">
        <v>41</v>
      </c>
      <c r="B53" s="30" t="s">
        <v>157</v>
      </c>
      <c r="C53" s="31" t="s">
        <v>158</v>
      </c>
      <c r="D53" s="68">
        <v>5</v>
      </c>
      <c r="E53" s="69">
        <v>5</v>
      </c>
      <c r="F53" s="70">
        <v>5</v>
      </c>
      <c r="G53" s="62">
        <f>SUM(LARGE(D53:F53,{1,2}))</f>
        <v>10</v>
      </c>
      <c r="H53" s="62">
        <f t="shared" si="0"/>
        <v>5</v>
      </c>
      <c r="I53" s="63">
        <f t="shared" si="1"/>
        <v>5</v>
      </c>
      <c r="J53" s="68">
        <v>25</v>
      </c>
      <c r="K53" s="71">
        <v>25</v>
      </c>
      <c r="L53" s="70">
        <v>23</v>
      </c>
      <c r="M53" s="62">
        <f>SUM(LARGE(J53:L53,{1,2}))</f>
        <v>50</v>
      </c>
      <c r="N53" s="62">
        <f t="shared" si="2"/>
        <v>5</v>
      </c>
      <c r="O53" s="63">
        <f t="shared" si="3"/>
        <v>5</v>
      </c>
      <c r="P53" s="63">
        <v>5</v>
      </c>
      <c r="Q53" s="68">
        <v>98</v>
      </c>
      <c r="R53" s="64">
        <f t="shared" si="4"/>
        <v>5</v>
      </c>
      <c r="S53" s="65">
        <f t="shared" si="5"/>
        <v>20</v>
      </c>
      <c r="T53" s="68">
        <v>44</v>
      </c>
      <c r="U53" s="68">
        <v>72</v>
      </c>
      <c r="V53" s="68">
        <v>25</v>
      </c>
      <c r="W53" s="62">
        <f>SUM(LARGE(T53:V53,{1,2}))</f>
        <v>116</v>
      </c>
      <c r="X53" s="62">
        <f t="shared" si="6"/>
        <v>11.6</v>
      </c>
      <c r="Y53" s="66">
        <f t="shared" si="7"/>
        <v>12</v>
      </c>
      <c r="Z53" s="67">
        <f t="shared" si="8"/>
        <v>32</v>
      </c>
    </row>
    <row r="54" spans="1:26" ht="24.95" customHeight="1">
      <c r="A54" s="30">
        <v>42</v>
      </c>
      <c r="B54" s="30" t="s">
        <v>159</v>
      </c>
      <c r="C54" s="31" t="s">
        <v>160</v>
      </c>
      <c r="D54" s="68">
        <v>5</v>
      </c>
      <c r="E54" s="69">
        <v>5</v>
      </c>
      <c r="F54" s="70">
        <v>5</v>
      </c>
      <c r="G54" s="62">
        <f>SUM(LARGE(D54:F54,{1,2}))</f>
        <v>10</v>
      </c>
      <c r="H54" s="62">
        <f t="shared" si="0"/>
        <v>5</v>
      </c>
      <c r="I54" s="63">
        <f t="shared" si="1"/>
        <v>5</v>
      </c>
      <c r="J54" s="68">
        <v>25</v>
      </c>
      <c r="K54" s="71">
        <v>25</v>
      </c>
      <c r="L54" s="70">
        <v>25</v>
      </c>
      <c r="M54" s="62">
        <f>SUM(LARGE(J54:L54,{1,2}))</f>
        <v>50</v>
      </c>
      <c r="N54" s="62">
        <f t="shared" si="2"/>
        <v>5</v>
      </c>
      <c r="O54" s="63">
        <f t="shared" si="3"/>
        <v>5</v>
      </c>
      <c r="P54" s="63">
        <v>5</v>
      </c>
      <c r="Q54" s="74">
        <v>76</v>
      </c>
      <c r="R54" s="64">
        <f t="shared" si="4"/>
        <v>1</v>
      </c>
      <c r="S54" s="65">
        <f t="shared" si="5"/>
        <v>16</v>
      </c>
      <c r="T54" s="68">
        <v>24</v>
      </c>
      <c r="U54" s="68">
        <v>48</v>
      </c>
      <c r="V54" s="68">
        <v>40</v>
      </c>
      <c r="W54" s="62">
        <f>SUM(LARGE(T54:V54,{1,2}))</f>
        <v>88</v>
      </c>
      <c r="X54" s="62">
        <f t="shared" si="6"/>
        <v>8.8000000000000007</v>
      </c>
      <c r="Y54" s="66">
        <f t="shared" si="7"/>
        <v>9</v>
      </c>
      <c r="Z54" s="67">
        <f t="shared" si="8"/>
        <v>25</v>
      </c>
    </row>
    <row r="55" spans="1:26" ht="24.95" customHeight="1">
      <c r="A55" s="30">
        <v>43</v>
      </c>
      <c r="B55" s="30" t="s">
        <v>161</v>
      </c>
      <c r="C55" s="31" t="s">
        <v>162</v>
      </c>
      <c r="D55" s="68">
        <v>5</v>
      </c>
      <c r="E55" s="69">
        <v>5</v>
      </c>
      <c r="F55" s="70">
        <v>5</v>
      </c>
      <c r="G55" s="62">
        <f>SUM(LARGE(D55:F55,{1,2}))</f>
        <v>10</v>
      </c>
      <c r="H55" s="62">
        <f t="shared" si="0"/>
        <v>5</v>
      </c>
      <c r="I55" s="63">
        <f t="shared" si="1"/>
        <v>5</v>
      </c>
      <c r="J55" s="68">
        <v>25</v>
      </c>
      <c r="K55" s="71">
        <v>25</v>
      </c>
      <c r="L55" s="70">
        <v>25</v>
      </c>
      <c r="M55" s="62">
        <f>SUM(LARGE(J55:L55,{1,2}))</f>
        <v>50</v>
      </c>
      <c r="N55" s="62">
        <f t="shared" si="2"/>
        <v>5</v>
      </c>
      <c r="O55" s="63">
        <f t="shared" si="3"/>
        <v>5</v>
      </c>
      <c r="P55" s="63">
        <v>5</v>
      </c>
      <c r="Q55" s="68">
        <v>88</v>
      </c>
      <c r="R55" s="64">
        <f t="shared" si="4"/>
        <v>3</v>
      </c>
      <c r="S55" s="65">
        <f t="shared" si="5"/>
        <v>18</v>
      </c>
      <c r="T55" s="68">
        <v>20</v>
      </c>
      <c r="U55" s="68">
        <v>60</v>
      </c>
      <c r="V55" s="68">
        <v>60</v>
      </c>
      <c r="W55" s="62">
        <f>SUM(LARGE(T55:V55,{1,2}))</f>
        <v>120</v>
      </c>
      <c r="X55" s="62">
        <f t="shared" si="6"/>
        <v>12</v>
      </c>
      <c r="Y55" s="66">
        <f t="shared" si="7"/>
        <v>12</v>
      </c>
      <c r="Z55" s="67">
        <f t="shared" si="8"/>
        <v>30</v>
      </c>
    </row>
    <row r="56" spans="1:26" ht="24.95" customHeight="1">
      <c r="A56" s="30">
        <v>44</v>
      </c>
      <c r="B56" s="30" t="s">
        <v>163</v>
      </c>
      <c r="C56" s="31" t="s">
        <v>164</v>
      </c>
      <c r="D56" s="68">
        <v>5</v>
      </c>
      <c r="E56" s="69">
        <v>5</v>
      </c>
      <c r="F56" s="70">
        <v>5</v>
      </c>
      <c r="G56" s="62">
        <f>SUM(LARGE(D56:F56,{1,2}))</f>
        <v>10</v>
      </c>
      <c r="H56" s="62">
        <f t="shared" si="0"/>
        <v>5</v>
      </c>
      <c r="I56" s="63">
        <f t="shared" si="1"/>
        <v>5</v>
      </c>
      <c r="J56" s="68">
        <v>25</v>
      </c>
      <c r="K56" s="71">
        <v>25</v>
      </c>
      <c r="L56" s="70">
        <v>25</v>
      </c>
      <c r="M56" s="62">
        <f>SUM(LARGE(J56:L56,{1,2}))</f>
        <v>50</v>
      </c>
      <c r="N56" s="62">
        <f t="shared" si="2"/>
        <v>5</v>
      </c>
      <c r="O56" s="63">
        <f t="shared" si="3"/>
        <v>5</v>
      </c>
      <c r="P56" s="63">
        <v>5</v>
      </c>
      <c r="Q56" s="68">
        <v>87</v>
      </c>
      <c r="R56" s="64">
        <f t="shared" si="4"/>
        <v>3</v>
      </c>
      <c r="S56" s="65">
        <f t="shared" si="5"/>
        <v>18</v>
      </c>
      <c r="T56" s="68">
        <v>40</v>
      </c>
      <c r="U56" s="68">
        <v>56.000000000000007</v>
      </c>
      <c r="V56" s="68">
        <v>50</v>
      </c>
      <c r="W56" s="62">
        <f>SUM(LARGE(T56:V56,{1,2}))</f>
        <v>106</v>
      </c>
      <c r="X56" s="62">
        <f t="shared" si="6"/>
        <v>10.6</v>
      </c>
      <c r="Y56" s="66">
        <f t="shared" si="7"/>
        <v>11</v>
      </c>
      <c r="Z56" s="67">
        <f t="shared" si="8"/>
        <v>29</v>
      </c>
    </row>
    <row r="57" spans="1:26" ht="24.95" customHeight="1">
      <c r="A57" s="30">
        <v>45</v>
      </c>
      <c r="B57" s="30" t="s">
        <v>165</v>
      </c>
      <c r="C57" s="31" t="s">
        <v>166</v>
      </c>
      <c r="D57" s="68">
        <v>5</v>
      </c>
      <c r="E57" s="69">
        <v>5</v>
      </c>
      <c r="F57" s="70">
        <v>5</v>
      </c>
      <c r="G57" s="62">
        <f>SUM(LARGE(D57:F57,{1,2}))</f>
        <v>10</v>
      </c>
      <c r="H57" s="62">
        <f t="shared" si="0"/>
        <v>5</v>
      </c>
      <c r="I57" s="63">
        <f t="shared" si="1"/>
        <v>5</v>
      </c>
      <c r="J57" s="68">
        <v>25</v>
      </c>
      <c r="K57" s="71">
        <v>25</v>
      </c>
      <c r="L57" s="70">
        <v>25</v>
      </c>
      <c r="M57" s="62">
        <f>SUM(LARGE(J57:L57,{1,2}))</f>
        <v>50</v>
      </c>
      <c r="N57" s="62">
        <f t="shared" si="2"/>
        <v>5</v>
      </c>
      <c r="O57" s="63">
        <f t="shared" si="3"/>
        <v>5</v>
      </c>
      <c r="P57" s="63">
        <v>5</v>
      </c>
      <c r="Q57" s="68">
        <v>82</v>
      </c>
      <c r="R57" s="64">
        <f t="shared" si="4"/>
        <v>2</v>
      </c>
      <c r="S57" s="65">
        <f t="shared" si="5"/>
        <v>17</v>
      </c>
      <c r="T57" s="68">
        <v>38</v>
      </c>
      <c r="U57" s="68">
        <v>44</v>
      </c>
      <c r="V57" s="68">
        <v>55</v>
      </c>
      <c r="W57" s="62">
        <f>SUM(LARGE(T57:V57,{1,2}))</f>
        <v>99</v>
      </c>
      <c r="X57" s="62">
        <f t="shared" si="6"/>
        <v>9.9</v>
      </c>
      <c r="Y57" s="66">
        <f t="shared" si="7"/>
        <v>10</v>
      </c>
      <c r="Z57" s="67">
        <f t="shared" si="8"/>
        <v>27</v>
      </c>
    </row>
    <row r="58" spans="1:26" ht="24.95" customHeight="1">
      <c r="A58" s="30">
        <v>46</v>
      </c>
      <c r="B58" s="30" t="s">
        <v>167</v>
      </c>
      <c r="C58" s="31" t="s">
        <v>168</v>
      </c>
      <c r="D58" s="68">
        <v>5</v>
      </c>
      <c r="E58" s="69">
        <v>5</v>
      </c>
      <c r="F58" s="70">
        <v>5</v>
      </c>
      <c r="G58" s="62">
        <f>SUM(LARGE(D58:F58,{1,2}))</f>
        <v>10</v>
      </c>
      <c r="H58" s="62">
        <f t="shared" si="0"/>
        <v>5</v>
      </c>
      <c r="I58" s="63">
        <f t="shared" si="1"/>
        <v>5</v>
      </c>
      <c r="J58" s="68">
        <v>25</v>
      </c>
      <c r="K58" s="71">
        <v>25</v>
      </c>
      <c r="L58" s="70">
        <v>25</v>
      </c>
      <c r="M58" s="62">
        <f>SUM(LARGE(J58:L58,{1,2}))</f>
        <v>50</v>
      </c>
      <c r="N58" s="62">
        <f t="shared" si="2"/>
        <v>5</v>
      </c>
      <c r="O58" s="63">
        <f t="shared" si="3"/>
        <v>5</v>
      </c>
      <c r="P58" s="63">
        <v>5</v>
      </c>
      <c r="Q58" s="68">
        <v>88</v>
      </c>
      <c r="R58" s="64">
        <f t="shared" si="4"/>
        <v>3</v>
      </c>
      <c r="S58" s="65">
        <f t="shared" si="5"/>
        <v>18</v>
      </c>
      <c r="T58" s="68">
        <v>42</v>
      </c>
      <c r="U58" s="68">
        <v>62</v>
      </c>
      <c r="V58" s="68">
        <v>50</v>
      </c>
      <c r="W58" s="62">
        <f>SUM(LARGE(T58:V58,{1,2}))</f>
        <v>112</v>
      </c>
      <c r="X58" s="62">
        <f t="shared" si="6"/>
        <v>11.2</v>
      </c>
      <c r="Y58" s="66">
        <f t="shared" si="7"/>
        <v>12</v>
      </c>
      <c r="Z58" s="67">
        <f t="shared" si="8"/>
        <v>30</v>
      </c>
    </row>
    <row r="59" spans="1:26" ht="24.95" customHeight="1">
      <c r="A59" s="30">
        <v>47</v>
      </c>
      <c r="B59" s="30" t="s">
        <v>169</v>
      </c>
      <c r="C59" s="31" t="s">
        <v>170</v>
      </c>
      <c r="D59" s="68">
        <v>5</v>
      </c>
      <c r="E59" s="69">
        <v>5</v>
      </c>
      <c r="F59" s="70">
        <v>5</v>
      </c>
      <c r="G59" s="62">
        <f>SUM(LARGE(D59:F59,{1,2}))</f>
        <v>10</v>
      </c>
      <c r="H59" s="62">
        <f t="shared" si="0"/>
        <v>5</v>
      </c>
      <c r="I59" s="63">
        <f t="shared" si="1"/>
        <v>5</v>
      </c>
      <c r="J59" s="68">
        <v>25</v>
      </c>
      <c r="K59" s="71">
        <v>25</v>
      </c>
      <c r="L59" s="70">
        <v>25</v>
      </c>
      <c r="M59" s="62">
        <f>SUM(LARGE(J59:L59,{1,2}))</f>
        <v>50</v>
      </c>
      <c r="N59" s="62">
        <f t="shared" si="2"/>
        <v>5</v>
      </c>
      <c r="O59" s="63">
        <f t="shared" si="3"/>
        <v>5</v>
      </c>
      <c r="P59" s="63">
        <v>5</v>
      </c>
      <c r="Q59" s="74">
        <v>76</v>
      </c>
      <c r="R59" s="64">
        <f t="shared" si="4"/>
        <v>1</v>
      </c>
      <c r="S59" s="65">
        <f t="shared" si="5"/>
        <v>16</v>
      </c>
      <c r="T59" s="68">
        <v>40</v>
      </c>
      <c r="U59" s="68">
        <v>36</v>
      </c>
      <c r="V59" s="68">
        <v>73</v>
      </c>
      <c r="W59" s="62">
        <f>SUM(LARGE(T59:V59,{1,2}))</f>
        <v>113</v>
      </c>
      <c r="X59" s="62">
        <f t="shared" si="6"/>
        <v>11.3</v>
      </c>
      <c r="Y59" s="66">
        <f t="shared" si="7"/>
        <v>12</v>
      </c>
      <c r="Z59" s="67">
        <f t="shared" si="8"/>
        <v>28</v>
      </c>
    </row>
    <row r="60" spans="1:26" ht="24.95" customHeight="1">
      <c r="A60" s="30">
        <v>48</v>
      </c>
      <c r="B60" s="30" t="s">
        <v>171</v>
      </c>
      <c r="C60" s="31" t="s">
        <v>172</v>
      </c>
      <c r="D60" s="68">
        <v>5</v>
      </c>
      <c r="E60" s="69">
        <v>5</v>
      </c>
      <c r="F60" s="70">
        <v>5</v>
      </c>
      <c r="G60" s="62">
        <f>SUM(LARGE(D60:F60,{1,2}))</f>
        <v>10</v>
      </c>
      <c r="H60" s="62">
        <f t="shared" si="0"/>
        <v>5</v>
      </c>
      <c r="I60" s="63">
        <f t="shared" si="1"/>
        <v>5</v>
      </c>
      <c r="J60" s="68">
        <v>25</v>
      </c>
      <c r="K60" s="71">
        <v>25</v>
      </c>
      <c r="L60" s="70">
        <v>25</v>
      </c>
      <c r="M60" s="62">
        <f>SUM(LARGE(J60:L60,{1,2}))</f>
        <v>50</v>
      </c>
      <c r="N60" s="62">
        <f t="shared" si="2"/>
        <v>5</v>
      </c>
      <c r="O60" s="63">
        <f t="shared" si="3"/>
        <v>5</v>
      </c>
      <c r="P60" s="63">
        <v>5</v>
      </c>
      <c r="Q60" s="68">
        <v>79</v>
      </c>
      <c r="R60" s="64">
        <f t="shared" si="4"/>
        <v>1</v>
      </c>
      <c r="S60" s="65">
        <f t="shared" si="5"/>
        <v>16</v>
      </c>
      <c r="T60" s="68">
        <v>40</v>
      </c>
      <c r="U60" s="68">
        <v>26</v>
      </c>
      <c r="V60" s="68">
        <v>75</v>
      </c>
      <c r="W60" s="62">
        <f>SUM(LARGE(T60:V60,{1,2}))</f>
        <v>115</v>
      </c>
      <c r="X60" s="62">
        <f t="shared" si="6"/>
        <v>11.5</v>
      </c>
      <c r="Y60" s="66">
        <f t="shared" si="7"/>
        <v>12</v>
      </c>
      <c r="Z60" s="67">
        <f t="shared" si="8"/>
        <v>28</v>
      </c>
    </row>
    <row r="61" spans="1:26" ht="24.95" customHeight="1">
      <c r="A61" s="30">
        <v>49</v>
      </c>
      <c r="B61" s="30" t="s">
        <v>173</v>
      </c>
      <c r="C61" s="35" t="s">
        <v>176</v>
      </c>
      <c r="D61" s="68">
        <v>5</v>
      </c>
      <c r="E61" s="69">
        <v>5</v>
      </c>
      <c r="F61" s="70">
        <v>5</v>
      </c>
      <c r="G61" s="62">
        <f>SUM(LARGE(D61:F61,{1,2}))</f>
        <v>10</v>
      </c>
      <c r="H61" s="62">
        <f t="shared" si="0"/>
        <v>5</v>
      </c>
      <c r="I61" s="63">
        <f t="shared" si="1"/>
        <v>5</v>
      </c>
      <c r="J61" s="68">
        <v>25</v>
      </c>
      <c r="K61" s="71">
        <v>25</v>
      </c>
      <c r="L61" s="70">
        <v>25</v>
      </c>
      <c r="M61" s="62">
        <f>SUM(LARGE(J61:L61,{1,2}))</f>
        <v>50</v>
      </c>
      <c r="N61" s="62">
        <f t="shared" si="2"/>
        <v>5</v>
      </c>
      <c r="O61" s="63">
        <f t="shared" si="3"/>
        <v>5</v>
      </c>
      <c r="P61" s="63">
        <v>5</v>
      </c>
      <c r="Q61" s="68">
        <v>90</v>
      </c>
      <c r="R61" s="64">
        <f t="shared" si="4"/>
        <v>4</v>
      </c>
      <c r="S61" s="65">
        <f t="shared" si="5"/>
        <v>19</v>
      </c>
      <c r="T61" s="68">
        <v>50</v>
      </c>
      <c r="U61" s="68">
        <v>44</v>
      </c>
      <c r="V61" s="68">
        <v>73</v>
      </c>
      <c r="W61" s="62">
        <f>SUM(LARGE(T61:V61,{1,2}))</f>
        <v>123</v>
      </c>
      <c r="X61" s="62">
        <f t="shared" si="6"/>
        <v>12.3</v>
      </c>
      <c r="Y61" s="66">
        <f t="shared" si="7"/>
        <v>13</v>
      </c>
      <c r="Z61" s="67">
        <f t="shared" si="8"/>
        <v>32</v>
      </c>
    </row>
    <row r="62" spans="1:26" ht="24.95" customHeight="1">
      <c r="A62" s="30">
        <v>50</v>
      </c>
      <c r="B62" s="30" t="s">
        <v>174</v>
      </c>
      <c r="C62" s="31" t="s">
        <v>175</v>
      </c>
      <c r="D62" s="68">
        <v>5</v>
      </c>
      <c r="E62" s="69">
        <v>5</v>
      </c>
      <c r="F62" s="70">
        <v>5</v>
      </c>
      <c r="G62" s="62">
        <f>SUM(LARGE(D62:F62,{1,2}))</f>
        <v>10</v>
      </c>
      <c r="H62" s="62">
        <f t="shared" si="0"/>
        <v>5</v>
      </c>
      <c r="I62" s="63">
        <f t="shared" si="1"/>
        <v>5</v>
      </c>
      <c r="J62" s="68">
        <v>25</v>
      </c>
      <c r="K62" s="71">
        <v>25</v>
      </c>
      <c r="L62" s="70">
        <v>25</v>
      </c>
      <c r="M62" s="62">
        <f>SUM(LARGE(J62:L62,{1,2}))</f>
        <v>50</v>
      </c>
      <c r="N62" s="62">
        <f t="shared" si="2"/>
        <v>5</v>
      </c>
      <c r="O62" s="63">
        <f t="shared" si="3"/>
        <v>5</v>
      </c>
      <c r="P62" s="63">
        <v>5</v>
      </c>
      <c r="Q62" s="68">
        <v>82</v>
      </c>
      <c r="R62" s="64">
        <f t="shared" si="4"/>
        <v>2</v>
      </c>
      <c r="S62" s="65">
        <f t="shared" si="5"/>
        <v>17</v>
      </c>
      <c r="T62" s="68">
        <v>46</v>
      </c>
      <c r="U62" s="68" t="s">
        <v>177</v>
      </c>
      <c r="V62" s="68">
        <v>58</v>
      </c>
      <c r="W62" s="62">
        <f>SUM(LARGE(T62:V62,{1,2}))</f>
        <v>104</v>
      </c>
      <c r="X62" s="62">
        <f t="shared" si="6"/>
        <v>10.4</v>
      </c>
      <c r="Y62" s="66">
        <f t="shared" si="7"/>
        <v>11</v>
      </c>
      <c r="Z62" s="67">
        <f t="shared" si="8"/>
        <v>28</v>
      </c>
    </row>
    <row r="64" spans="1:26" ht="18.75">
      <c r="Z64" s="36"/>
    </row>
    <row r="66" spans="2:23" ht="15.75">
      <c r="B66" s="9" t="s">
        <v>36</v>
      </c>
      <c r="C66" s="10"/>
      <c r="L66" s="15"/>
      <c r="M66" s="9" t="s">
        <v>37</v>
      </c>
      <c r="N66" s="15"/>
      <c r="O66" s="15"/>
      <c r="Q66" s="16"/>
      <c r="W66" s="9" t="s">
        <v>38</v>
      </c>
    </row>
    <row r="67" spans="2:23" ht="15.75">
      <c r="B67" s="11" t="s">
        <v>39</v>
      </c>
      <c r="C67" s="10"/>
      <c r="L67" s="10"/>
      <c r="M67" s="11" t="s">
        <v>40</v>
      </c>
      <c r="N67" s="10"/>
      <c r="O67" s="10"/>
      <c r="Q67" s="16"/>
      <c r="W67" s="11" t="s">
        <v>41</v>
      </c>
    </row>
  </sheetData>
  <mergeCells count="19">
    <mergeCell ref="T9:Z9"/>
    <mergeCell ref="D11:I11"/>
    <mergeCell ref="J11:P11"/>
    <mergeCell ref="Q11:R11"/>
    <mergeCell ref="T11:Y11"/>
    <mergeCell ref="R9:S9"/>
    <mergeCell ref="A9:B9"/>
    <mergeCell ref="D9:G9"/>
    <mergeCell ref="H9:J9"/>
    <mergeCell ref="K9:L9"/>
    <mergeCell ref="M9:Q9"/>
    <mergeCell ref="A6:Z6"/>
    <mergeCell ref="A8:B8"/>
    <mergeCell ref="D8:G8"/>
    <mergeCell ref="H8:J8"/>
    <mergeCell ref="K8:L8"/>
    <mergeCell ref="M8:Q8"/>
    <mergeCell ref="R8:S8"/>
    <mergeCell ref="T8:Z8"/>
  </mergeCells>
  <conditionalFormatting sqref="Z13:Z62 Z64">
    <cfRule type="cellIs" dxfId="3" priority="1" operator="lessThan">
      <formula>24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Width="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opLeftCell="A49" zoomScale="80" zoomScaleNormal="80" workbookViewId="0">
      <selection activeCell="AA65" sqref="AA65"/>
    </sheetView>
  </sheetViews>
  <sheetFormatPr defaultColWidth="9" defaultRowHeight="15"/>
  <cols>
    <col min="1" max="1" width="6.28515625" customWidth="1"/>
    <col min="2" max="2" width="21.28515625" customWidth="1"/>
    <col min="3" max="3" width="25.5703125" customWidth="1"/>
    <col min="4" max="4" width="6.140625" customWidth="1"/>
    <col min="5" max="5" width="5.85546875" customWidth="1"/>
    <col min="6" max="6" width="6.28515625" customWidth="1"/>
    <col min="7" max="7" width="6.7109375" customWidth="1"/>
    <col min="8" max="8" width="6.28515625" customWidth="1"/>
    <col min="9" max="9" width="8" customWidth="1"/>
    <col min="10" max="11" width="7.140625" customWidth="1"/>
    <col min="12" max="14" width="6.7109375" customWidth="1"/>
    <col min="15" max="16" width="7.5703125" customWidth="1"/>
    <col min="17" max="17" width="8.28515625" customWidth="1"/>
    <col min="18" max="18" width="8.7109375" customWidth="1"/>
    <col min="19" max="19" width="9" customWidth="1"/>
    <col min="20" max="20" width="6.7109375" customWidth="1"/>
    <col min="21" max="21" width="6.5703125" customWidth="1"/>
    <col min="22" max="22" width="6.7109375" customWidth="1"/>
    <col min="23" max="23" width="7.28515625" customWidth="1"/>
    <col min="24" max="24" width="9.7109375" customWidth="1"/>
    <col min="25" max="25" width="7.5703125" customWidth="1"/>
    <col min="26" max="26" width="8.85546875" customWidth="1"/>
  </cols>
  <sheetData>
    <row r="1" spans="1:26">
      <c r="I1" s="13"/>
      <c r="R1" s="16"/>
    </row>
    <row r="2" spans="1:26">
      <c r="I2" s="13"/>
      <c r="R2" s="16"/>
    </row>
    <row r="3" spans="1:26">
      <c r="I3" s="13"/>
      <c r="R3" s="16"/>
    </row>
    <row r="4" spans="1:26">
      <c r="I4" s="13"/>
      <c r="R4" s="16"/>
    </row>
    <row r="5" spans="1:26">
      <c r="I5" s="13"/>
      <c r="R5" s="16"/>
    </row>
    <row r="6" spans="1:26" ht="15.75">
      <c r="A6" s="84" t="s">
        <v>0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6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87" t="s">
        <v>1</v>
      </c>
      <c r="B8" s="88"/>
      <c r="C8" s="29" t="s">
        <v>55</v>
      </c>
      <c r="D8" s="87" t="s">
        <v>2</v>
      </c>
      <c r="E8" s="88"/>
      <c r="F8" s="88"/>
      <c r="G8" s="88"/>
      <c r="H8" s="89" t="s">
        <v>73</v>
      </c>
      <c r="I8" s="89"/>
      <c r="J8" s="90"/>
      <c r="K8" s="87" t="s">
        <v>3</v>
      </c>
      <c r="L8" s="88"/>
      <c r="M8" s="89" t="s">
        <v>4</v>
      </c>
      <c r="N8" s="89"/>
      <c r="O8" s="89"/>
      <c r="P8" s="89"/>
      <c r="Q8" s="90"/>
      <c r="R8" s="91" t="s">
        <v>5</v>
      </c>
      <c r="S8" s="91"/>
      <c r="T8" s="92" t="s">
        <v>193</v>
      </c>
      <c r="U8" s="91"/>
      <c r="V8" s="91"/>
      <c r="W8" s="91"/>
      <c r="X8" s="91"/>
      <c r="Y8" s="91"/>
      <c r="Z8" s="93"/>
    </row>
    <row r="9" spans="1:26" ht="15.75">
      <c r="A9" s="94" t="s">
        <v>6</v>
      </c>
      <c r="B9" s="95"/>
      <c r="C9" s="29" t="s">
        <v>72</v>
      </c>
      <c r="D9" s="87" t="s">
        <v>7</v>
      </c>
      <c r="E9" s="88"/>
      <c r="F9" s="88"/>
      <c r="G9" s="88"/>
      <c r="H9" s="89" t="s">
        <v>74</v>
      </c>
      <c r="I9" s="89"/>
      <c r="J9" s="90"/>
      <c r="K9" s="95" t="s">
        <v>8</v>
      </c>
      <c r="L9" s="95"/>
      <c r="M9" s="96" t="s">
        <v>75</v>
      </c>
      <c r="N9" s="96"/>
      <c r="O9" s="96"/>
      <c r="P9" s="96"/>
      <c r="Q9" s="96"/>
      <c r="R9" s="87" t="s">
        <v>9</v>
      </c>
      <c r="S9" s="88"/>
      <c r="T9" s="97" t="s">
        <v>192</v>
      </c>
      <c r="U9" s="88"/>
      <c r="V9" s="88"/>
      <c r="W9" s="88"/>
      <c r="X9" s="88"/>
      <c r="Y9" s="88"/>
      <c r="Z9" s="98"/>
    </row>
    <row r="10" spans="1:26">
      <c r="A10" s="2"/>
      <c r="B10" s="2"/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3"/>
      <c r="W10" s="2"/>
      <c r="X10" s="2"/>
      <c r="Y10" s="2"/>
      <c r="Z10" s="2"/>
    </row>
    <row r="11" spans="1:26" ht="15.75">
      <c r="A11" s="37"/>
      <c r="B11" s="37"/>
      <c r="C11" s="37"/>
      <c r="D11" s="99" t="s">
        <v>10</v>
      </c>
      <c r="E11" s="100"/>
      <c r="F11" s="100"/>
      <c r="G11" s="100"/>
      <c r="H11" s="100"/>
      <c r="I11" s="101"/>
      <c r="J11" s="102" t="s">
        <v>11</v>
      </c>
      <c r="K11" s="100"/>
      <c r="L11" s="100"/>
      <c r="M11" s="100"/>
      <c r="N11" s="100"/>
      <c r="O11" s="100"/>
      <c r="P11" s="101"/>
      <c r="Q11" s="102" t="s">
        <v>12</v>
      </c>
      <c r="R11" s="101"/>
      <c r="S11" s="37"/>
      <c r="T11" s="102" t="s">
        <v>13</v>
      </c>
      <c r="U11" s="100"/>
      <c r="V11" s="100"/>
      <c r="W11" s="100"/>
      <c r="X11" s="100"/>
      <c r="Y11" s="101"/>
      <c r="Z11" s="38"/>
    </row>
    <row r="12" spans="1:26" ht="82.5" customHeight="1">
      <c r="A12" s="39" t="s">
        <v>14</v>
      </c>
      <c r="B12" s="40" t="s">
        <v>15</v>
      </c>
      <c r="C12" s="40" t="s">
        <v>16</v>
      </c>
      <c r="D12" s="56" t="s">
        <v>17</v>
      </c>
      <c r="E12" s="56" t="s">
        <v>18</v>
      </c>
      <c r="F12" s="56" t="s">
        <v>19</v>
      </c>
      <c r="G12" s="56" t="s">
        <v>20</v>
      </c>
      <c r="H12" s="56" t="s">
        <v>21</v>
      </c>
      <c r="I12" s="57" t="s">
        <v>22</v>
      </c>
      <c r="J12" s="56" t="s">
        <v>23</v>
      </c>
      <c r="K12" s="56" t="s">
        <v>24</v>
      </c>
      <c r="L12" s="56" t="s">
        <v>25</v>
      </c>
      <c r="M12" s="56" t="s">
        <v>26</v>
      </c>
      <c r="N12" s="56" t="s">
        <v>21</v>
      </c>
      <c r="O12" s="58" t="s">
        <v>27</v>
      </c>
      <c r="P12" s="57" t="s">
        <v>28</v>
      </c>
      <c r="Q12" s="59" t="s">
        <v>29</v>
      </c>
      <c r="R12" s="58" t="s">
        <v>30</v>
      </c>
      <c r="S12" s="60" t="s">
        <v>31</v>
      </c>
      <c r="T12" s="51" t="s">
        <v>179</v>
      </c>
      <c r="U12" s="51" t="s">
        <v>180</v>
      </c>
      <c r="V12" s="51" t="s">
        <v>181</v>
      </c>
      <c r="W12" s="59" t="s">
        <v>32</v>
      </c>
      <c r="X12" s="59" t="s">
        <v>33</v>
      </c>
      <c r="Y12" s="60" t="s">
        <v>34</v>
      </c>
      <c r="Z12" s="61" t="s">
        <v>35</v>
      </c>
    </row>
    <row r="13" spans="1:26" ht="24.95" customHeight="1">
      <c r="A13" s="30">
        <v>1</v>
      </c>
      <c r="B13" s="30" t="s">
        <v>77</v>
      </c>
      <c r="C13" s="75" t="s">
        <v>78</v>
      </c>
      <c r="D13" s="71">
        <v>5</v>
      </c>
      <c r="E13" s="71">
        <v>4</v>
      </c>
      <c r="F13" s="70">
        <v>4</v>
      </c>
      <c r="G13" s="62">
        <f>SUM(LARGE(D13:F13,{1,2}))</f>
        <v>9</v>
      </c>
      <c r="H13" s="62">
        <f>G13/2</f>
        <v>4.5</v>
      </c>
      <c r="I13" s="63">
        <f>ROUNDUP(H13,0)</f>
        <v>5</v>
      </c>
      <c r="J13" s="71">
        <v>25</v>
      </c>
      <c r="K13" s="71">
        <v>25</v>
      </c>
      <c r="L13" s="70">
        <v>24</v>
      </c>
      <c r="M13" s="62">
        <f>SUM(LARGE(J13:L13,{1,2}))</f>
        <v>50</v>
      </c>
      <c r="N13" s="62">
        <f>ROUNDUP(M13/50*5,1)</f>
        <v>5</v>
      </c>
      <c r="O13" s="63">
        <f>ROUNDUP(N13,0)</f>
        <v>5</v>
      </c>
      <c r="P13" s="63">
        <v>5</v>
      </c>
      <c r="Q13" s="68" t="s">
        <v>178</v>
      </c>
      <c r="R13" s="64">
        <f>IF(Q13&gt;=95,5,IF(Q13&gt;=90,4,IF(Q13&gt;=85,3, IF(Q13&gt;=80,2,IF(Q13&gt;=75,1,0)))))</f>
        <v>5</v>
      </c>
      <c r="S13" s="65">
        <f>I13+O13+P13+R13</f>
        <v>20</v>
      </c>
      <c r="T13" s="71">
        <v>82</v>
      </c>
      <c r="U13" s="71">
        <v>66</v>
      </c>
      <c r="V13" s="70">
        <v>40</v>
      </c>
      <c r="W13" s="62">
        <f>SUM(LARGE(T13:V13,{1,2}))</f>
        <v>148</v>
      </c>
      <c r="X13" s="62">
        <f>W13/10</f>
        <v>14.8</v>
      </c>
      <c r="Y13" s="66">
        <f>ROUNDUP(X13,0)</f>
        <v>15</v>
      </c>
      <c r="Z13" s="67">
        <f>S13+Y13</f>
        <v>35</v>
      </c>
    </row>
    <row r="14" spans="1:26" ht="24.95" customHeight="1">
      <c r="A14" s="30">
        <v>2</v>
      </c>
      <c r="B14" s="30" t="s">
        <v>79</v>
      </c>
      <c r="C14" s="75" t="s">
        <v>80</v>
      </c>
      <c r="D14" s="71">
        <v>5</v>
      </c>
      <c r="E14" s="71">
        <v>5</v>
      </c>
      <c r="F14" s="70">
        <v>5</v>
      </c>
      <c r="G14" s="62">
        <f>SUM(LARGE(D14:F14,{1,2}))</f>
        <v>10</v>
      </c>
      <c r="H14" s="62">
        <f t="shared" ref="H14:H62" si="0">G14/2</f>
        <v>5</v>
      </c>
      <c r="I14" s="63">
        <f t="shared" ref="I14:I62" si="1">ROUNDUP(H14,0)</f>
        <v>5</v>
      </c>
      <c r="J14" s="71">
        <v>25</v>
      </c>
      <c r="K14" s="71">
        <v>25</v>
      </c>
      <c r="L14" s="70">
        <v>25</v>
      </c>
      <c r="M14" s="62">
        <f>SUM(LARGE(J14:L14,{1,2}))</f>
        <v>50</v>
      </c>
      <c r="N14" s="62">
        <f t="shared" ref="N14:N62" si="2">ROUNDUP(M14/50*5,1)</f>
        <v>5</v>
      </c>
      <c r="O14" s="63">
        <f t="shared" ref="O14:O62" si="3">ROUNDUP(N14,0)</f>
        <v>5</v>
      </c>
      <c r="P14" s="63">
        <v>5</v>
      </c>
      <c r="Q14" s="68">
        <v>87</v>
      </c>
      <c r="R14" s="64">
        <f t="shared" ref="R14:R62" si="4">IF(Q14&gt;=95,5,IF(Q14&gt;=90,4,IF(Q14&gt;=85,3, IF(Q14&gt;=80,2,IF(Q14&gt;=75,1,0)))))</f>
        <v>3</v>
      </c>
      <c r="S14" s="65">
        <f t="shared" ref="S14:S62" si="5">I14+O14+P14+R14</f>
        <v>18</v>
      </c>
      <c r="T14" s="71">
        <v>98</v>
      </c>
      <c r="U14" s="71">
        <v>92</v>
      </c>
      <c r="V14" s="70">
        <v>98</v>
      </c>
      <c r="W14" s="62">
        <f>SUM(LARGE(T14:V14,{1,2}))</f>
        <v>196</v>
      </c>
      <c r="X14" s="62">
        <f t="shared" ref="X14:X62" si="6">W14/10</f>
        <v>19.600000000000001</v>
      </c>
      <c r="Y14" s="66">
        <f t="shared" ref="Y14:Y62" si="7">ROUNDUP(X14,0)</f>
        <v>20</v>
      </c>
      <c r="Z14" s="67">
        <f t="shared" ref="Z14:Z62" si="8">S14+Y14</f>
        <v>38</v>
      </c>
    </row>
    <row r="15" spans="1:26" ht="24.95" customHeight="1">
      <c r="A15" s="30">
        <v>3</v>
      </c>
      <c r="B15" s="30" t="s">
        <v>81</v>
      </c>
      <c r="C15" s="75" t="s">
        <v>82</v>
      </c>
      <c r="D15" s="71">
        <v>4</v>
      </c>
      <c r="E15" s="71">
        <v>4</v>
      </c>
      <c r="F15" s="70">
        <v>4</v>
      </c>
      <c r="G15" s="62">
        <f>SUM(LARGE(D15:F15,{1,2}))</f>
        <v>8</v>
      </c>
      <c r="H15" s="62">
        <f t="shared" si="0"/>
        <v>4</v>
      </c>
      <c r="I15" s="63">
        <f t="shared" si="1"/>
        <v>4</v>
      </c>
      <c r="J15" s="71">
        <v>24</v>
      </c>
      <c r="K15" s="71">
        <v>23</v>
      </c>
      <c r="L15" s="70">
        <v>23</v>
      </c>
      <c r="M15" s="62">
        <f>SUM(LARGE(J15:L15,{1,2}))</f>
        <v>47</v>
      </c>
      <c r="N15" s="62">
        <f t="shared" si="2"/>
        <v>4.7</v>
      </c>
      <c r="O15" s="63">
        <f t="shared" si="3"/>
        <v>5</v>
      </c>
      <c r="P15" s="63">
        <v>5</v>
      </c>
      <c r="Q15" s="68">
        <v>93</v>
      </c>
      <c r="R15" s="64">
        <f t="shared" si="4"/>
        <v>4</v>
      </c>
      <c r="S15" s="65">
        <f t="shared" si="5"/>
        <v>18</v>
      </c>
      <c r="T15" s="71">
        <v>40</v>
      </c>
      <c r="U15" s="71">
        <v>50</v>
      </c>
      <c r="V15" s="70">
        <v>40</v>
      </c>
      <c r="W15" s="62">
        <f>SUM(LARGE(T15:V15,{1,2}))</f>
        <v>90</v>
      </c>
      <c r="X15" s="62">
        <f t="shared" si="6"/>
        <v>9</v>
      </c>
      <c r="Y15" s="66">
        <f t="shared" si="7"/>
        <v>9</v>
      </c>
      <c r="Z15" s="67">
        <f t="shared" si="8"/>
        <v>27</v>
      </c>
    </row>
    <row r="16" spans="1:26" ht="24.95" customHeight="1">
      <c r="A16" s="30">
        <v>4</v>
      </c>
      <c r="B16" s="30" t="s">
        <v>83</v>
      </c>
      <c r="C16" s="75" t="s">
        <v>84</v>
      </c>
      <c r="D16" s="71">
        <v>5</v>
      </c>
      <c r="E16" s="71">
        <v>4</v>
      </c>
      <c r="F16" s="70">
        <v>4</v>
      </c>
      <c r="G16" s="62">
        <f>SUM(LARGE(D16:F16,{1,2}))</f>
        <v>9</v>
      </c>
      <c r="H16" s="62">
        <f t="shared" si="0"/>
        <v>4.5</v>
      </c>
      <c r="I16" s="63">
        <f t="shared" si="1"/>
        <v>5</v>
      </c>
      <c r="J16" s="71">
        <v>25</v>
      </c>
      <c r="K16" s="71">
        <v>24</v>
      </c>
      <c r="L16" s="70">
        <v>24</v>
      </c>
      <c r="M16" s="62">
        <f>SUM(LARGE(J16:L16,{1,2}))</f>
        <v>49</v>
      </c>
      <c r="N16" s="62">
        <f t="shared" si="2"/>
        <v>4.9000000000000004</v>
      </c>
      <c r="O16" s="63">
        <f t="shared" si="3"/>
        <v>5</v>
      </c>
      <c r="P16" s="63">
        <v>5</v>
      </c>
      <c r="Q16" s="68">
        <v>89</v>
      </c>
      <c r="R16" s="64">
        <f t="shared" si="4"/>
        <v>3</v>
      </c>
      <c r="S16" s="65">
        <f t="shared" si="5"/>
        <v>18</v>
      </c>
      <c r="T16" s="71">
        <v>40</v>
      </c>
      <c r="U16" s="71">
        <v>58</v>
      </c>
      <c r="V16" s="70">
        <v>55</v>
      </c>
      <c r="W16" s="62">
        <f>SUM(LARGE(T16:V16,{1,2}))</f>
        <v>113</v>
      </c>
      <c r="X16" s="62">
        <f t="shared" si="6"/>
        <v>11.3</v>
      </c>
      <c r="Y16" s="66">
        <f t="shared" si="7"/>
        <v>12</v>
      </c>
      <c r="Z16" s="67">
        <f t="shared" si="8"/>
        <v>30</v>
      </c>
    </row>
    <row r="17" spans="1:26" ht="24.95" customHeight="1">
      <c r="A17" s="30">
        <v>5</v>
      </c>
      <c r="B17" s="30" t="s">
        <v>85</v>
      </c>
      <c r="C17" s="75" t="s">
        <v>86</v>
      </c>
      <c r="D17" s="71">
        <v>5</v>
      </c>
      <c r="E17" s="71">
        <v>5</v>
      </c>
      <c r="F17" s="70">
        <v>4</v>
      </c>
      <c r="G17" s="62">
        <f>SUM(LARGE(D17:F17,{1,2}))</f>
        <v>10</v>
      </c>
      <c r="H17" s="62">
        <f t="shared" si="0"/>
        <v>5</v>
      </c>
      <c r="I17" s="63">
        <f t="shared" si="1"/>
        <v>5</v>
      </c>
      <c r="J17" s="71">
        <v>25</v>
      </c>
      <c r="K17" s="71">
        <v>24</v>
      </c>
      <c r="L17" s="70">
        <v>23</v>
      </c>
      <c r="M17" s="62">
        <f>SUM(LARGE(J17:L17,{1,2}))</f>
        <v>49</v>
      </c>
      <c r="N17" s="62">
        <f t="shared" si="2"/>
        <v>4.9000000000000004</v>
      </c>
      <c r="O17" s="63">
        <f t="shared" si="3"/>
        <v>5</v>
      </c>
      <c r="P17" s="63">
        <v>5</v>
      </c>
      <c r="Q17" s="68">
        <v>83</v>
      </c>
      <c r="R17" s="64">
        <f t="shared" si="4"/>
        <v>2</v>
      </c>
      <c r="S17" s="65">
        <f t="shared" si="5"/>
        <v>17</v>
      </c>
      <c r="T17" s="71">
        <v>72</v>
      </c>
      <c r="U17" s="71">
        <v>54</v>
      </c>
      <c r="V17" s="70">
        <v>40</v>
      </c>
      <c r="W17" s="62">
        <f>SUM(LARGE(T17:V17,{1,2}))</f>
        <v>126</v>
      </c>
      <c r="X17" s="62">
        <f t="shared" si="6"/>
        <v>12.6</v>
      </c>
      <c r="Y17" s="66">
        <f t="shared" si="7"/>
        <v>13</v>
      </c>
      <c r="Z17" s="67">
        <f t="shared" si="8"/>
        <v>30</v>
      </c>
    </row>
    <row r="18" spans="1:26" ht="24.95" customHeight="1">
      <c r="A18" s="30">
        <v>6</v>
      </c>
      <c r="B18" s="30" t="s">
        <v>87</v>
      </c>
      <c r="C18" s="75" t="s">
        <v>88</v>
      </c>
      <c r="D18" s="71">
        <v>5</v>
      </c>
      <c r="E18" s="71">
        <v>5</v>
      </c>
      <c r="F18" s="70">
        <v>5</v>
      </c>
      <c r="G18" s="62">
        <f>SUM(LARGE(D18:F18,{1,2}))</f>
        <v>10</v>
      </c>
      <c r="H18" s="62">
        <f t="shared" si="0"/>
        <v>5</v>
      </c>
      <c r="I18" s="63">
        <f t="shared" si="1"/>
        <v>5</v>
      </c>
      <c r="J18" s="71">
        <v>25</v>
      </c>
      <c r="K18" s="71">
        <v>24</v>
      </c>
      <c r="L18" s="70">
        <v>24</v>
      </c>
      <c r="M18" s="62">
        <f>SUM(LARGE(J18:L18,{1,2}))</f>
        <v>49</v>
      </c>
      <c r="N18" s="62">
        <f t="shared" si="2"/>
        <v>4.9000000000000004</v>
      </c>
      <c r="O18" s="63">
        <f t="shared" si="3"/>
        <v>5</v>
      </c>
      <c r="P18" s="63">
        <v>5</v>
      </c>
      <c r="Q18" s="68">
        <v>91</v>
      </c>
      <c r="R18" s="64">
        <f t="shared" si="4"/>
        <v>4</v>
      </c>
      <c r="S18" s="65">
        <f t="shared" si="5"/>
        <v>19</v>
      </c>
      <c r="T18" s="71">
        <v>78</v>
      </c>
      <c r="U18" s="71">
        <v>50</v>
      </c>
      <c r="V18" s="70">
        <v>60</v>
      </c>
      <c r="W18" s="62">
        <f>SUM(LARGE(T18:V18,{1,2}))</f>
        <v>138</v>
      </c>
      <c r="X18" s="62">
        <f t="shared" si="6"/>
        <v>13.8</v>
      </c>
      <c r="Y18" s="66">
        <f t="shared" si="7"/>
        <v>14</v>
      </c>
      <c r="Z18" s="67">
        <f t="shared" si="8"/>
        <v>33</v>
      </c>
    </row>
    <row r="19" spans="1:26" ht="24.95" customHeight="1">
      <c r="A19" s="30">
        <v>7</v>
      </c>
      <c r="B19" s="30" t="s">
        <v>89</v>
      </c>
      <c r="C19" s="75" t="s">
        <v>90</v>
      </c>
      <c r="D19" s="71">
        <v>5</v>
      </c>
      <c r="E19" s="71">
        <v>5</v>
      </c>
      <c r="F19" s="70">
        <v>4</v>
      </c>
      <c r="G19" s="62">
        <f>SUM(LARGE(D19:F19,{1,2}))</f>
        <v>10</v>
      </c>
      <c r="H19" s="62">
        <f t="shared" si="0"/>
        <v>5</v>
      </c>
      <c r="I19" s="63">
        <f t="shared" si="1"/>
        <v>5</v>
      </c>
      <c r="J19" s="71">
        <v>25</v>
      </c>
      <c r="K19" s="71">
        <v>24</v>
      </c>
      <c r="L19" s="70">
        <v>24</v>
      </c>
      <c r="M19" s="62">
        <f>SUM(LARGE(J19:L19,{1,2}))</f>
        <v>49</v>
      </c>
      <c r="N19" s="62">
        <f t="shared" si="2"/>
        <v>4.9000000000000004</v>
      </c>
      <c r="O19" s="63">
        <f t="shared" si="3"/>
        <v>5</v>
      </c>
      <c r="P19" s="63">
        <v>5</v>
      </c>
      <c r="Q19" s="68">
        <v>92</v>
      </c>
      <c r="R19" s="64">
        <f t="shared" si="4"/>
        <v>4</v>
      </c>
      <c r="S19" s="65">
        <f t="shared" si="5"/>
        <v>19</v>
      </c>
      <c r="T19" s="71">
        <v>70</v>
      </c>
      <c r="U19" s="71">
        <v>52</v>
      </c>
      <c r="V19" s="70">
        <v>45</v>
      </c>
      <c r="W19" s="62">
        <f>SUM(LARGE(T19:V19,{1,2}))</f>
        <v>122</v>
      </c>
      <c r="X19" s="62">
        <f t="shared" si="6"/>
        <v>12.2</v>
      </c>
      <c r="Y19" s="66">
        <f t="shared" si="7"/>
        <v>13</v>
      </c>
      <c r="Z19" s="67">
        <f t="shared" si="8"/>
        <v>32</v>
      </c>
    </row>
    <row r="20" spans="1:26" ht="24.95" customHeight="1">
      <c r="A20" s="30">
        <v>8</v>
      </c>
      <c r="B20" s="30" t="s">
        <v>91</v>
      </c>
      <c r="C20" s="75" t="s">
        <v>92</v>
      </c>
      <c r="D20" s="71">
        <v>5</v>
      </c>
      <c r="E20" s="71">
        <v>5</v>
      </c>
      <c r="F20" s="70">
        <v>5</v>
      </c>
      <c r="G20" s="62">
        <f>SUM(LARGE(D20:F20,{1,2}))</f>
        <v>10</v>
      </c>
      <c r="H20" s="62">
        <f t="shared" si="0"/>
        <v>5</v>
      </c>
      <c r="I20" s="63">
        <f t="shared" si="1"/>
        <v>5</v>
      </c>
      <c r="J20" s="71">
        <v>25</v>
      </c>
      <c r="K20" s="71">
        <v>25</v>
      </c>
      <c r="L20" s="70">
        <v>25</v>
      </c>
      <c r="M20" s="62">
        <f>SUM(LARGE(J20:L20,{1,2}))</f>
        <v>50</v>
      </c>
      <c r="N20" s="62">
        <f t="shared" si="2"/>
        <v>5</v>
      </c>
      <c r="O20" s="63">
        <f t="shared" si="3"/>
        <v>5</v>
      </c>
      <c r="P20" s="63">
        <v>5</v>
      </c>
      <c r="Q20" s="68">
        <v>91</v>
      </c>
      <c r="R20" s="64">
        <f t="shared" si="4"/>
        <v>4</v>
      </c>
      <c r="S20" s="65">
        <f t="shared" si="5"/>
        <v>19</v>
      </c>
      <c r="T20" s="71">
        <v>98</v>
      </c>
      <c r="U20" s="71">
        <v>96</v>
      </c>
      <c r="V20" s="70">
        <v>95</v>
      </c>
      <c r="W20" s="62">
        <f>SUM(LARGE(T20:V20,{1,2}))</f>
        <v>194</v>
      </c>
      <c r="X20" s="62">
        <f t="shared" si="6"/>
        <v>19.399999999999999</v>
      </c>
      <c r="Y20" s="66">
        <f t="shared" si="7"/>
        <v>20</v>
      </c>
      <c r="Z20" s="67">
        <f t="shared" si="8"/>
        <v>39</v>
      </c>
    </row>
    <row r="21" spans="1:26" ht="24.95" customHeight="1">
      <c r="A21" s="30">
        <v>9</v>
      </c>
      <c r="B21" s="30" t="s">
        <v>93</v>
      </c>
      <c r="C21" s="75" t="s">
        <v>94</v>
      </c>
      <c r="D21" s="71">
        <v>5</v>
      </c>
      <c r="E21" s="71">
        <v>5</v>
      </c>
      <c r="F21" s="70">
        <v>5</v>
      </c>
      <c r="G21" s="62">
        <f>SUM(LARGE(D21:F21,{1,2}))</f>
        <v>10</v>
      </c>
      <c r="H21" s="62">
        <f t="shared" si="0"/>
        <v>5</v>
      </c>
      <c r="I21" s="63">
        <f t="shared" si="1"/>
        <v>5</v>
      </c>
      <c r="J21" s="71">
        <v>25</v>
      </c>
      <c r="K21" s="71">
        <v>25</v>
      </c>
      <c r="L21" s="70">
        <v>23</v>
      </c>
      <c r="M21" s="62">
        <f>SUM(LARGE(J21:L21,{1,2}))</f>
        <v>50</v>
      </c>
      <c r="N21" s="62">
        <f t="shared" si="2"/>
        <v>5</v>
      </c>
      <c r="O21" s="63">
        <f t="shared" si="3"/>
        <v>5</v>
      </c>
      <c r="P21" s="63">
        <v>5</v>
      </c>
      <c r="Q21" s="68">
        <v>98</v>
      </c>
      <c r="R21" s="64">
        <f t="shared" si="4"/>
        <v>5</v>
      </c>
      <c r="S21" s="65">
        <f t="shared" si="5"/>
        <v>20</v>
      </c>
      <c r="T21" s="71">
        <v>52</v>
      </c>
      <c r="U21" s="71">
        <v>54</v>
      </c>
      <c r="V21" s="70">
        <v>40</v>
      </c>
      <c r="W21" s="62">
        <f>SUM(LARGE(T21:V21,{1,2}))</f>
        <v>106</v>
      </c>
      <c r="X21" s="62">
        <f t="shared" si="6"/>
        <v>10.6</v>
      </c>
      <c r="Y21" s="66">
        <f t="shared" si="7"/>
        <v>11</v>
      </c>
      <c r="Z21" s="67">
        <f t="shared" si="8"/>
        <v>31</v>
      </c>
    </row>
    <row r="22" spans="1:26" ht="24.95" customHeight="1">
      <c r="A22" s="30">
        <v>10</v>
      </c>
      <c r="B22" s="30" t="s">
        <v>95</v>
      </c>
      <c r="C22" s="75" t="s">
        <v>96</v>
      </c>
      <c r="D22" s="71">
        <v>4</v>
      </c>
      <c r="E22" s="71">
        <v>4</v>
      </c>
      <c r="F22" s="70">
        <v>4</v>
      </c>
      <c r="G22" s="62">
        <f>SUM(LARGE(D22:F22,{1,2}))</f>
        <v>8</v>
      </c>
      <c r="H22" s="62">
        <f t="shared" si="0"/>
        <v>4</v>
      </c>
      <c r="I22" s="63">
        <f t="shared" si="1"/>
        <v>4</v>
      </c>
      <c r="J22" s="71">
        <v>24</v>
      </c>
      <c r="K22" s="71">
        <v>24</v>
      </c>
      <c r="L22" s="70">
        <v>24</v>
      </c>
      <c r="M22" s="62">
        <f>SUM(LARGE(J22:L22,{1,2}))</f>
        <v>48</v>
      </c>
      <c r="N22" s="62">
        <f t="shared" si="2"/>
        <v>4.8</v>
      </c>
      <c r="O22" s="63">
        <f t="shared" si="3"/>
        <v>5</v>
      </c>
      <c r="P22" s="63">
        <v>5</v>
      </c>
      <c r="Q22" s="68">
        <v>88</v>
      </c>
      <c r="R22" s="64">
        <f t="shared" si="4"/>
        <v>3</v>
      </c>
      <c r="S22" s="65">
        <f t="shared" si="5"/>
        <v>17</v>
      </c>
      <c r="T22" s="71">
        <v>48</v>
      </c>
      <c r="U22" s="71">
        <v>50</v>
      </c>
      <c r="V22" s="70">
        <v>53</v>
      </c>
      <c r="W22" s="62">
        <f>SUM(LARGE(T22:V22,{1,2}))</f>
        <v>103</v>
      </c>
      <c r="X22" s="62">
        <f t="shared" si="6"/>
        <v>10.3</v>
      </c>
      <c r="Y22" s="66">
        <f t="shared" si="7"/>
        <v>11</v>
      </c>
      <c r="Z22" s="67">
        <f t="shared" si="8"/>
        <v>28</v>
      </c>
    </row>
    <row r="23" spans="1:26" ht="24.95" customHeight="1">
      <c r="A23" s="30">
        <v>11</v>
      </c>
      <c r="B23" s="30" t="s">
        <v>97</v>
      </c>
      <c r="C23" s="75" t="s">
        <v>98</v>
      </c>
      <c r="D23" s="71">
        <v>4</v>
      </c>
      <c r="E23" s="71">
        <v>4</v>
      </c>
      <c r="F23" s="70">
        <v>4</v>
      </c>
      <c r="G23" s="62">
        <f>SUM(LARGE(D23:F23,{1,2}))</f>
        <v>8</v>
      </c>
      <c r="H23" s="62">
        <f t="shared" si="0"/>
        <v>4</v>
      </c>
      <c r="I23" s="63">
        <f t="shared" si="1"/>
        <v>4</v>
      </c>
      <c r="J23" s="71">
        <v>24</v>
      </c>
      <c r="K23" s="71">
        <v>24</v>
      </c>
      <c r="L23" s="70">
        <v>23</v>
      </c>
      <c r="M23" s="62">
        <f>SUM(LARGE(J23:L23,{1,2}))</f>
        <v>48</v>
      </c>
      <c r="N23" s="62">
        <f t="shared" si="2"/>
        <v>4.8</v>
      </c>
      <c r="O23" s="63">
        <f t="shared" si="3"/>
        <v>5</v>
      </c>
      <c r="P23" s="63">
        <v>5</v>
      </c>
      <c r="Q23" s="68">
        <v>82</v>
      </c>
      <c r="R23" s="64">
        <f t="shared" si="4"/>
        <v>2</v>
      </c>
      <c r="S23" s="65">
        <f t="shared" si="5"/>
        <v>16</v>
      </c>
      <c r="T23" s="71">
        <v>52</v>
      </c>
      <c r="U23" s="71">
        <v>58</v>
      </c>
      <c r="V23" s="70">
        <v>40</v>
      </c>
      <c r="W23" s="62">
        <f>SUM(LARGE(T23:V23,{1,2}))</f>
        <v>110</v>
      </c>
      <c r="X23" s="62">
        <f t="shared" si="6"/>
        <v>11</v>
      </c>
      <c r="Y23" s="66">
        <f t="shared" si="7"/>
        <v>11</v>
      </c>
      <c r="Z23" s="67">
        <f t="shared" si="8"/>
        <v>27</v>
      </c>
    </row>
    <row r="24" spans="1:26" ht="24.95" customHeight="1">
      <c r="A24" s="30">
        <v>12</v>
      </c>
      <c r="B24" s="30" t="s">
        <v>99</v>
      </c>
      <c r="C24" s="75" t="s">
        <v>100</v>
      </c>
      <c r="D24" s="71">
        <v>5</v>
      </c>
      <c r="E24" s="71">
        <v>4</v>
      </c>
      <c r="F24" s="70">
        <v>4</v>
      </c>
      <c r="G24" s="62">
        <f>SUM(LARGE(D24:F24,{1,2}))</f>
        <v>9</v>
      </c>
      <c r="H24" s="62">
        <f t="shared" si="0"/>
        <v>4.5</v>
      </c>
      <c r="I24" s="63">
        <f t="shared" si="1"/>
        <v>5</v>
      </c>
      <c r="J24" s="71">
        <v>25</v>
      </c>
      <c r="K24" s="71">
        <v>24</v>
      </c>
      <c r="L24" s="70">
        <v>24</v>
      </c>
      <c r="M24" s="62">
        <f>SUM(LARGE(J24:L24,{1,2}))</f>
        <v>49</v>
      </c>
      <c r="N24" s="62">
        <f t="shared" si="2"/>
        <v>4.9000000000000004</v>
      </c>
      <c r="O24" s="63">
        <f t="shared" si="3"/>
        <v>5</v>
      </c>
      <c r="P24" s="63">
        <v>5</v>
      </c>
      <c r="Q24" s="68">
        <v>86</v>
      </c>
      <c r="R24" s="64">
        <f t="shared" si="4"/>
        <v>3</v>
      </c>
      <c r="S24" s="65">
        <f t="shared" si="5"/>
        <v>18</v>
      </c>
      <c r="T24" s="71">
        <v>74</v>
      </c>
      <c r="U24" s="71">
        <v>70</v>
      </c>
      <c r="V24" s="70">
        <v>70</v>
      </c>
      <c r="W24" s="62">
        <f>SUM(LARGE(T24:V24,{1,2}))</f>
        <v>144</v>
      </c>
      <c r="X24" s="62">
        <f t="shared" si="6"/>
        <v>14.4</v>
      </c>
      <c r="Y24" s="66">
        <f t="shared" si="7"/>
        <v>15</v>
      </c>
      <c r="Z24" s="67">
        <f t="shared" si="8"/>
        <v>33</v>
      </c>
    </row>
    <row r="25" spans="1:26" ht="24.95" customHeight="1">
      <c r="A25" s="30">
        <v>13</v>
      </c>
      <c r="B25" s="30" t="s">
        <v>101</v>
      </c>
      <c r="C25" s="75" t="s">
        <v>102</v>
      </c>
      <c r="D25" s="71">
        <v>4</v>
      </c>
      <c r="E25" s="71">
        <v>4</v>
      </c>
      <c r="F25" s="70">
        <v>4</v>
      </c>
      <c r="G25" s="62">
        <f>SUM(LARGE(D25:F25,{1,2}))</f>
        <v>8</v>
      </c>
      <c r="H25" s="62">
        <f t="shared" si="0"/>
        <v>4</v>
      </c>
      <c r="I25" s="63">
        <f t="shared" si="1"/>
        <v>4</v>
      </c>
      <c r="J25" s="71">
        <v>24</v>
      </c>
      <c r="K25" s="71">
        <v>24</v>
      </c>
      <c r="L25" s="70">
        <v>24</v>
      </c>
      <c r="M25" s="62">
        <f>SUM(LARGE(J25:L25,{1,2}))</f>
        <v>48</v>
      </c>
      <c r="N25" s="62">
        <f t="shared" si="2"/>
        <v>4.8</v>
      </c>
      <c r="O25" s="63">
        <f t="shared" si="3"/>
        <v>5</v>
      </c>
      <c r="P25" s="63">
        <v>5</v>
      </c>
      <c r="Q25" s="72">
        <v>71</v>
      </c>
      <c r="R25" s="64">
        <f t="shared" si="4"/>
        <v>0</v>
      </c>
      <c r="S25" s="65">
        <f t="shared" si="5"/>
        <v>14</v>
      </c>
      <c r="T25" s="71">
        <v>60</v>
      </c>
      <c r="U25" s="71">
        <v>42</v>
      </c>
      <c r="V25" s="70">
        <v>43</v>
      </c>
      <c r="W25" s="62">
        <f>SUM(LARGE(T25:V25,{1,2}))</f>
        <v>103</v>
      </c>
      <c r="X25" s="62">
        <f t="shared" si="6"/>
        <v>10.3</v>
      </c>
      <c r="Y25" s="66">
        <f t="shared" si="7"/>
        <v>11</v>
      </c>
      <c r="Z25" s="67">
        <f t="shared" si="8"/>
        <v>25</v>
      </c>
    </row>
    <row r="26" spans="1:26" ht="24.95" customHeight="1">
      <c r="A26" s="30">
        <v>14</v>
      </c>
      <c r="B26" s="30" t="s">
        <v>103</v>
      </c>
      <c r="C26" s="75" t="s">
        <v>104</v>
      </c>
      <c r="D26" s="71">
        <v>5</v>
      </c>
      <c r="E26" s="71">
        <v>5</v>
      </c>
      <c r="F26" s="70">
        <v>5</v>
      </c>
      <c r="G26" s="62">
        <f>SUM(LARGE(D26:F26,{1,2}))</f>
        <v>10</v>
      </c>
      <c r="H26" s="62">
        <f t="shared" si="0"/>
        <v>5</v>
      </c>
      <c r="I26" s="63">
        <f t="shared" si="1"/>
        <v>5</v>
      </c>
      <c r="J26" s="71">
        <v>25</v>
      </c>
      <c r="K26" s="71">
        <v>25</v>
      </c>
      <c r="L26" s="70">
        <v>25</v>
      </c>
      <c r="M26" s="62">
        <f>SUM(LARGE(J26:L26,{1,2}))</f>
        <v>50</v>
      </c>
      <c r="N26" s="62">
        <f t="shared" si="2"/>
        <v>5</v>
      </c>
      <c r="O26" s="63">
        <f t="shared" si="3"/>
        <v>5</v>
      </c>
      <c r="P26" s="63">
        <v>5</v>
      </c>
      <c r="Q26" s="68">
        <v>97</v>
      </c>
      <c r="R26" s="64">
        <f t="shared" si="4"/>
        <v>5</v>
      </c>
      <c r="S26" s="65">
        <f t="shared" si="5"/>
        <v>20</v>
      </c>
      <c r="T26" s="71">
        <v>92</v>
      </c>
      <c r="U26" s="71">
        <v>92</v>
      </c>
      <c r="V26" s="70">
        <v>95</v>
      </c>
      <c r="W26" s="62">
        <f>SUM(LARGE(T26:V26,{1,2}))</f>
        <v>187</v>
      </c>
      <c r="X26" s="62">
        <f t="shared" si="6"/>
        <v>18.7</v>
      </c>
      <c r="Y26" s="66">
        <f t="shared" si="7"/>
        <v>19</v>
      </c>
      <c r="Z26" s="67">
        <f t="shared" si="8"/>
        <v>39</v>
      </c>
    </row>
    <row r="27" spans="1:26" ht="24.95" customHeight="1">
      <c r="A27" s="30">
        <v>15</v>
      </c>
      <c r="B27" s="30" t="s">
        <v>105</v>
      </c>
      <c r="C27" s="75" t="s">
        <v>106</v>
      </c>
      <c r="D27" s="71">
        <v>5</v>
      </c>
      <c r="E27" s="71">
        <v>5</v>
      </c>
      <c r="F27" s="70">
        <v>5</v>
      </c>
      <c r="G27" s="62">
        <f>SUM(LARGE(D27:F27,{1,2}))</f>
        <v>10</v>
      </c>
      <c r="H27" s="62">
        <f t="shared" si="0"/>
        <v>5</v>
      </c>
      <c r="I27" s="63">
        <f t="shared" si="1"/>
        <v>5</v>
      </c>
      <c r="J27" s="71">
        <v>25</v>
      </c>
      <c r="K27" s="71">
        <v>24</v>
      </c>
      <c r="L27" s="70">
        <v>24</v>
      </c>
      <c r="M27" s="62">
        <f>SUM(LARGE(J27:L27,{1,2}))</f>
        <v>49</v>
      </c>
      <c r="N27" s="62">
        <f t="shared" si="2"/>
        <v>4.9000000000000004</v>
      </c>
      <c r="O27" s="63">
        <f t="shared" si="3"/>
        <v>5</v>
      </c>
      <c r="P27" s="63">
        <v>5</v>
      </c>
      <c r="Q27" s="68">
        <v>86</v>
      </c>
      <c r="R27" s="64">
        <f t="shared" si="4"/>
        <v>3</v>
      </c>
      <c r="S27" s="65">
        <f t="shared" si="5"/>
        <v>18</v>
      </c>
      <c r="T27" s="71">
        <v>58</v>
      </c>
      <c r="U27" s="71">
        <v>48</v>
      </c>
      <c r="V27" s="70">
        <v>55</v>
      </c>
      <c r="W27" s="62">
        <f>SUM(LARGE(T27:V27,{1,2}))</f>
        <v>113</v>
      </c>
      <c r="X27" s="62">
        <f t="shared" si="6"/>
        <v>11.3</v>
      </c>
      <c r="Y27" s="66">
        <f t="shared" si="7"/>
        <v>12</v>
      </c>
      <c r="Z27" s="67">
        <f t="shared" si="8"/>
        <v>30</v>
      </c>
    </row>
    <row r="28" spans="1:26" ht="24.95" customHeight="1">
      <c r="A28" s="30">
        <v>16</v>
      </c>
      <c r="B28" s="30" t="s">
        <v>107</v>
      </c>
      <c r="C28" s="75" t="s">
        <v>108</v>
      </c>
      <c r="D28" s="71">
        <v>4</v>
      </c>
      <c r="E28" s="71">
        <v>4</v>
      </c>
      <c r="F28" s="70">
        <v>4</v>
      </c>
      <c r="G28" s="62">
        <f>SUM(LARGE(D28:F28,{1,2}))</f>
        <v>8</v>
      </c>
      <c r="H28" s="62">
        <f t="shared" si="0"/>
        <v>4</v>
      </c>
      <c r="I28" s="63">
        <f t="shared" si="1"/>
        <v>4</v>
      </c>
      <c r="J28" s="71">
        <v>24</v>
      </c>
      <c r="K28" s="71">
        <v>23</v>
      </c>
      <c r="L28" s="70">
        <v>23</v>
      </c>
      <c r="M28" s="62">
        <f>SUM(LARGE(J28:L28,{1,2}))</f>
        <v>47</v>
      </c>
      <c r="N28" s="62">
        <f t="shared" si="2"/>
        <v>4.7</v>
      </c>
      <c r="O28" s="63">
        <f t="shared" si="3"/>
        <v>5</v>
      </c>
      <c r="P28" s="63">
        <v>5</v>
      </c>
      <c r="Q28" s="72">
        <v>73</v>
      </c>
      <c r="R28" s="64">
        <f t="shared" si="4"/>
        <v>0</v>
      </c>
      <c r="S28" s="65">
        <f t="shared" si="5"/>
        <v>14</v>
      </c>
      <c r="T28" s="71">
        <v>16</v>
      </c>
      <c r="U28" s="77" t="s">
        <v>177</v>
      </c>
      <c r="V28" s="70">
        <v>40</v>
      </c>
      <c r="W28" s="62">
        <f>SUM(LARGE(T28:V28,{1,2}))</f>
        <v>56</v>
      </c>
      <c r="X28" s="62">
        <f t="shared" si="6"/>
        <v>5.6</v>
      </c>
      <c r="Y28" s="66">
        <f t="shared" si="7"/>
        <v>6</v>
      </c>
      <c r="Z28" s="67">
        <f t="shared" si="8"/>
        <v>20</v>
      </c>
    </row>
    <row r="29" spans="1:26" ht="24.95" customHeight="1">
      <c r="A29" s="30">
        <v>17</v>
      </c>
      <c r="B29" s="30" t="s">
        <v>109</v>
      </c>
      <c r="C29" s="75" t="s">
        <v>110</v>
      </c>
      <c r="D29" s="71">
        <v>5</v>
      </c>
      <c r="E29" s="71">
        <v>5</v>
      </c>
      <c r="F29" s="70">
        <v>5</v>
      </c>
      <c r="G29" s="62">
        <f>SUM(LARGE(D29:F29,{1,2}))</f>
        <v>10</v>
      </c>
      <c r="H29" s="62">
        <f t="shared" si="0"/>
        <v>5</v>
      </c>
      <c r="I29" s="63">
        <f t="shared" si="1"/>
        <v>5</v>
      </c>
      <c r="J29" s="71">
        <v>25</v>
      </c>
      <c r="K29" s="71">
        <v>25</v>
      </c>
      <c r="L29" s="70">
        <v>24</v>
      </c>
      <c r="M29" s="62">
        <f>SUM(LARGE(J29:L29,{1,2}))</f>
        <v>50</v>
      </c>
      <c r="N29" s="62">
        <f t="shared" si="2"/>
        <v>5</v>
      </c>
      <c r="O29" s="63">
        <f t="shared" si="3"/>
        <v>5</v>
      </c>
      <c r="P29" s="63">
        <v>5</v>
      </c>
      <c r="Q29" s="68">
        <v>91</v>
      </c>
      <c r="R29" s="64">
        <f t="shared" si="4"/>
        <v>4</v>
      </c>
      <c r="S29" s="65">
        <f t="shared" si="5"/>
        <v>19</v>
      </c>
      <c r="T29" s="71">
        <v>46</v>
      </c>
      <c r="U29" s="71">
        <v>70</v>
      </c>
      <c r="V29" s="70">
        <v>65</v>
      </c>
      <c r="W29" s="62">
        <f>SUM(LARGE(T29:V29,{1,2}))</f>
        <v>135</v>
      </c>
      <c r="X29" s="62">
        <f t="shared" si="6"/>
        <v>13.5</v>
      </c>
      <c r="Y29" s="66">
        <f t="shared" si="7"/>
        <v>14</v>
      </c>
      <c r="Z29" s="67">
        <f t="shared" si="8"/>
        <v>33</v>
      </c>
    </row>
    <row r="30" spans="1:26" ht="24.95" customHeight="1">
      <c r="A30" s="30">
        <v>18</v>
      </c>
      <c r="B30" s="30" t="s">
        <v>111</v>
      </c>
      <c r="C30" s="75" t="s">
        <v>112</v>
      </c>
      <c r="D30" s="71">
        <v>5</v>
      </c>
      <c r="E30" s="71">
        <v>5</v>
      </c>
      <c r="F30" s="70">
        <v>5</v>
      </c>
      <c r="G30" s="62">
        <f>SUM(LARGE(D30:F30,{1,2}))</f>
        <v>10</v>
      </c>
      <c r="H30" s="62">
        <f t="shared" si="0"/>
        <v>5</v>
      </c>
      <c r="I30" s="63">
        <f t="shared" si="1"/>
        <v>5</v>
      </c>
      <c r="J30" s="71">
        <v>25</v>
      </c>
      <c r="K30" s="71">
        <v>25</v>
      </c>
      <c r="L30" s="70">
        <v>24</v>
      </c>
      <c r="M30" s="62">
        <f>SUM(LARGE(J30:L30,{1,2}))</f>
        <v>50</v>
      </c>
      <c r="N30" s="62">
        <f t="shared" si="2"/>
        <v>5</v>
      </c>
      <c r="O30" s="63">
        <f t="shared" si="3"/>
        <v>5</v>
      </c>
      <c r="P30" s="63">
        <v>5</v>
      </c>
      <c r="Q30" s="68">
        <v>84</v>
      </c>
      <c r="R30" s="64">
        <f t="shared" si="4"/>
        <v>2</v>
      </c>
      <c r="S30" s="65">
        <f t="shared" si="5"/>
        <v>17</v>
      </c>
      <c r="T30" s="71">
        <v>40</v>
      </c>
      <c r="U30" s="71">
        <v>76</v>
      </c>
      <c r="V30" s="70">
        <v>58</v>
      </c>
      <c r="W30" s="62">
        <f>SUM(LARGE(T30:V30,{1,2}))</f>
        <v>134</v>
      </c>
      <c r="X30" s="62">
        <f t="shared" si="6"/>
        <v>13.4</v>
      </c>
      <c r="Y30" s="66">
        <f t="shared" si="7"/>
        <v>14</v>
      </c>
      <c r="Z30" s="67">
        <f t="shared" si="8"/>
        <v>31</v>
      </c>
    </row>
    <row r="31" spans="1:26" ht="24.95" customHeight="1">
      <c r="A31" s="30">
        <v>19</v>
      </c>
      <c r="B31" s="30" t="s">
        <v>113</v>
      </c>
      <c r="C31" s="75" t="s">
        <v>114</v>
      </c>
      <c r="D31" s="71">
        <v>5</v>
      </c>
      <c r="E31" s="71">
        <v>4</v>
      </c>
      <c r="F31" s="70">
        <v>4</v>
      </c>
      <c r="G31" s="62">
        <f>SUM(LARGE(D31:F31,{1,2}))</f>
        <v>9</v>
      </c>
      <c r="H31" s="62">
        <f t="shared" si="0"/>
        <v>4.5</v>
      </c>
      <c r="I31" s="63">
        <f t="shared" si="1"/>
        <v>5</v>
      </c>
      <c r="J31" s="71">
        <v>25</v>
      </c>
      <c r="K31" s="71">
        <v>24</v>
      </c>
      <c r="L31" s="70">
        <v>23</v>
      </c>
      <c r="M31" s="62">
        <f>SUM(LARGE(J31:L31,{1,2}))</f>
        <v>49</v>
      </c>
      <c r="N31" s="62">
        <f t="shared" si="2"/>
        <v>4.9000000000000004</v>
      </c>
      <c r="O31" s="63">
        <f t="shared" si="3"/>
        <v>5</v>
      </c>
      <c r="P31" s="63">
        <v>5</v>
      </c>
      <c r="Q31" s="68">
        <v>91</v>
      </c>
      <c r="R31" s="64">
        <f t="shared" si="4"/>
        <v>4</v>
      </c>
      <c r="S31" s="65">
        <f t="shared" si="5"/>
        <v>19</v>
      </c>
      <c r="T31" s="71">
        <v>58</v>
      </c>
      <c r="U31" s="71">
        <v>68</v>
      </c>
      <c r="V31" s="70">
        <v>40</v>
      </c>
      <c r="W31" s="62">
        <f>SUM(LARGE(T31:V31,{1,2}))</f>
        <v>126</v>
      </c>
      <c r="X31" s="62">
        <f t="shared" si="6"/>
        <v>12.6</v>
      </c>
      <c r="Y31" s="66">
        <f t="shared" si="7"/>
        <v>13</v>
      </c>
      <c r="Z31" s="67">
        <f t="shared" si="8"/>
        <v>32</v>
      </c>
    </row>
    <row r="32" spans="1:26" ht="24.95" customHeight="1">
      <c r="A32" s="30">
        <v>20</v>
      </c>
      <c r="B32" s="30" t="s">
        <v>115</v>
      </c>
      <c r="C32" s="75" t="s">
        <v>116</v>
      </c>
      <c r="D32" s="71">
        <v>5</v>
      </c>
      <c r="E32" s="71">
        <v>4</v>
      </c>
      <c r="F32" s="70">
        <v>4</v>
      </c>
      <c r="G32" s="62">
        <f>SUM(LARGE(D32:F32,{1,2}))</f>
        <v>9</v>
      </c>
      <c r="H32" s="62">
        <f t="shared" si="0"/>
        <v>4.5</v>
      </c>
      <c r="I32" s="63">
        <f t="shared" si="1"/>
        <v>5</v>
      </c>
      <c r="J32" s="71">
        <v>25</v>
      </c>
      <c r="K32" s="71">
        <v>23</v>
      </c>
      <c r="L32" s="70">
        <v>24</v>
      </c>
      <c r="M32" s="62">
        <f>SUM(LARGE(J32:L32,{1,2}))</f>
        <v>49</v>
      </c>
      <c r="N32" s="62">
        <f t="shared" si="2"/>
        <v>4.9000000000000004</v>
      </c>
      <c r="O32" s="63">
        <f t="shared" si="3"/>
        <v>5</v>
      </c>
      <c r="P32" s="63">
        <v>5</v>
      </c>
      <c r="Q32" s="68">
        <v>90</v>
      </c>
      <c r="R32" s="64">
        <f t="shared" si="4"/>
        <v>4</v>
      </c>
      <c r="S32" s="65">
        <f t="shared" si="5"/>
        <v>19</v>
      </c>
      <c r="T32" s="71">
        <v>40</v>
      </c>
      <c r="U32" s="71">
        <v>42</v>
      </c>
      <c r="V32" s="70">
        <v>50</v>
      </c>
      <c r="W32" s="62">
        <f>SUM(LARGE(T32:V32,{1,2}))</f>
        <v>92</v>
      </c>
      <c r="X32" s="62">
        <f t="shared" si="6"/>
        <v>9.1999999999999993</v>
      </c>
      <c r="Y32" s="66">
        <f t="shared" si="7"/>
        <v>10</v>
      </c>
      <c r="Z32" s="67">
        <f t="shared" si="8"/>
        <v>29</v>
      </c>
    </row>
    <row r="33" spans="1:26" ht="24.95" customHeight="1">
      <c r="A33" s="30">
        <v>21</v>
      </c>
      <c r="B33" s="30" t="s">
        <v>117</v>
      </c>
      <c r="C33" s="75" t="s">
        <v>118</v>
      </c>
      <c r="D33" s="71">
        <v>5</v>
      </c>
      <c r="E33" s="71">
        <v>4</v>
      </c>
      <c r="F33" s="70">
        <v>4</v>
      </c>
      <c r="G33" s="62">
        <f>SUM(LARGE(D33:F33,{1,2}))</f>
        <v>9</v>
      </c>
      <c r="H33" s="62">
        <f t="shared" si="0"/>
        <v>4.5</v>
      </c>
      <c r="I33" s="63">
        <f t="shared" si="1"/>
        <v>5</v>
      </c>
      <c r="J33" s="71">
        <v>25</v>
      </c>
      <c r="K33" s="71">
        <v>24</v>
      </c>
      <c r="L33" s="70">
        <v>24</v>
      </c>
      <c r="M33" s="62">
        <f>SUM(LARGE(J33:L33,{1,2}))</f>
        <v>49</v>
      </c>
      <c r="N33" s="62">
        <f t="shared" si="2"/>
        <v>4.9000000000000004</v>
      </c>
      <c r="O33" s="63">
        <f t="shared" si="3"/>
        <v>5</v>
      </c>
      <c r="P33" s="63">
        <v>5</v>
      </c>
      <c r="Q33" s="68">
        <v>86</v>
      </c>
      <c r="R33" s="64">
        <f t="shared" si="4"/>
        <v>3</v>
      </c>
      <c r="S33" s="65">
        <f t="shared" si="5"/>
        <v>18</v>
      </c>
      <c r="T33" s="71">
        <v>54</v>
      </c>
      <c r="U33" s="77" t="s">
        <v>177</v>
      </c>
      <c r="V33" s="70">
        <v>58</v>
      </c>
      <c r="W33" s="62">
        <f>SUM(LARGE(T33:V33,{1,2}))</f>
        <v>112</v>
      </c>
      <c r="X33" s="62">
        <f t="shared" si="6"/>
        <v>11.2</v>
      </c>
      <c r="Y33" s="66">
        <f t="shared" si="7"/>
        <v>12</v>
      </c>
      <c r="Z33" s="67">
        <f t="shared" si="8"/>
        <v>30</v>
      </c>
    </row>
    <row r="34" spans="1:26" ht="24.95" customHeight="1">
      <c r="A34" s="30">
        <v>22</v>
      </c>
      <c r="B34" s="30" t="s">
        <v>119</v>
      </c>
      <c r="C34" s="75" t="s">
        <v>120</v>
      </c>
      <c r="D34" s="71">
        <v>5</v>
      </c>
      <c r="E34" s="71">
        <v>4</v>
      </c>
      <c r="F34" s="70">
        <v>4</v>
      </c>
      <c r="G34" s="62">
        <f>SUM(LARGE(D34:F34,{1,2}))</f>
        <v>9</v>
      </c>
      <c r="H34" s="62">
        <f t="shared" si="0"/>
        <v>4.5</v>
      </c>
      <c r="I34" s="63">
        <f t="shared" si="1"/>
        <v>5</v>
      </c>
      <c r="J34" s="71">
        <v>25</v>
      </c>
      <c r="K34" s="71">
        <v>23</v>
      </c>
      <c r="L34" s="70">
        <v>24</v>
      </c>
      <c r="M34" s="62">
        <f>SUM(LARGE(J34:L34,{1,2}))</f>
        <v>49</v>
      </c>
      <c r="N34" s="62">
        <f t="shared" si="2"/>
        <v>4.9000000000000004</v>
      </c>
      <c r="O34" s="63">
        <f t="shared" si="3"/>
        <v>5</v>
      </c>
      <c r="P34" s="63">
        <v>5</v>
      </c>
      <c r="Q34" s="68">
        <v>82</v>
      </c>
      <c r="R34" s="64">
        <f t="shared" si="4"/>
        <v>2</v>
      </c>
      <c r="S34" s="65">
        <f t="shared" si="5"/>
        <v>17</v>
      </c>
      <c r="T34" s="71">
        <v>78</v>
      </c>
      <c r="U34" s="71">
        <v>80</v>
      </c>
      <c r="V34" s="70">
        <v>50</v>
      </c>
      <c r="W34" s="62">
        <f>SUM(LARGE(T34:V34,{1,2}))</f>
        <v>158</v>
      </c>
      <c r="X34" s="62">
        <f t="shared" si="6"/>
        <v>15.8</v>
      </c>
      <c r="Y34" s="66">
        <f t="shared" si="7"/>
        <v>16</v>
      </c>
      <c r="Z34" s="67">
        <f t="shared" si="8"/>
        <v>33</v>
      </c>
    </row>
    <row r="35" spans="1:26" ht="24.95" customHeight="1">
      <c r="A35" s="30">
        <v>23</v>
      </c>
      <c r="B35" s="30" t="s">
        <v>121</v>
      </c>
      <c r="C35" s="75" t="s">
        <v>122</v>
      </c>
      <c r="D35" s="71">
        <v>5</v>
      </c>
      <c r="E35" s="71">
        <v>5</v>
      </c>
      <c r="F35" s="70">
        <v>5</v>
      </c>
      <c r="G35" s="62">
        <f>SUM(LARGE(D35:F35,{1,2}))</f>
        <v>10</v>
      </c>
      <c r="H35" s="62">
        <f t="shared" si="0"/>
        <v>5</v>
      </c>
      <c r="I35" s="63">
        <f t="shared" si="1"/>
        <v>5</v>
      </c>
      <c r="J35" s="71">
        <v>25</v>
      </c>
      <c r="K35" s="71">
        <v>25</v>
      </c>
      <c r="L35" s="70">
        <v>25</v>
      </c>
      <c r="M35" s="62">
        <f>SUM(LARGE(J35:L35,{1,2}))</f>
        <v>50</v>
      </c>
      <c r="N35" s="62">
        <f t="shared" si="2"/>
        <v>5</v>
      </c>
      <c r="O35" s="63">
        <f t="shared" si="3"/>
        <v>5</v>
      </c>
      <c r="P35" s="63">
        <v>5</v>
      </c>
      <c r="Q35" s="68">
        <v>96</v>
      </c>
      <c r="R35" s="64">
        <f t="shared" si="4"/>
        <v>5</v>
      </c>
      <c r="S35" s="65">
        <f t="shared" si="5"/>
        <v>20</v>
      </c>
      <c r="T35" s="71">
        <v>44</v>
      </c>
      <c r="U35" s="71">
        <v>96</v>
      </c>
      <c r="V35" s="70">
        <v>95</v>
      </c>
      <c r="W35" s="62">
        <f>SUM(LARGE(T35:V35,{1,2}))</f>
        <v>191</v>
      </c>
      <c r="X35" s="62">
        <f t="shared" si="6"/>
        <v>19.100000000000001</v>
      </c>
      <c r="Y35" s="66">
        <f t="shared" si="7"/>
        <v>20</v>
      </c>
      <c r="Z35" s="67">
        <f t="shared" si="8"/>
        <v>40</v>
      </c>
    </row>
    <row r="36" spans="1:26" ht="24.95" customHeight="1">
      <c r="A36" s="30">
        <v>24</v>
      </c>
      <c r="B36" s="30" t="s">
        <v>123</v>
      </c>
      <c r="C36" s="75" t="s">
        <v>124</v>
      </c>
      <c r="D36" s="71">
        <v>5</v>
      </c>
      <c r="E36" s="71">
        <v>5</v>
      </c>
      <c r="F36" s="70">
        <v>5</v>
      </c>
      <c r="G36" s="62">
        <f>SUM(LARGE(D36:F36,{1,2}))</f>
        <v>10</v>
      </c>
      <c r="H36" s="62">
        <f t="shared" si="0"/>
        <v>5</v>
      </c>
      <c r="I36" s="63">
        <f t="shared" si="1"/>
        <v>5</v>
      </c>
      <c r="J36" s="71">
        <v>25</v>
      </c>
      <c r="K36" s="71">
        <v>25</v>
      </c>
      <c r="L36" s="70">
        <v>25</v>
      </c>
      <c r="M36" s="62">
        <f>SUM(LARGE(J36:L36,{1,2}))</f>
        <v>50</v>
      </c>
      <c r="N36" s="62">
        <f t="shared" si="2"/>
        <v>5</v>
      </c>
      <c r="O36" s="63">
        <f t="shared" si="3"/>
        <v>5</v>
      </c>
      <c r="P36" s="63">
        <v>5</v>
      </c>
      <c r="Q36" s="68">
        <v>90</v>
      </c>
      <c r="R36" s="64">
        <f t="shared" si="4"/>
        <v>4</v>
      </c>
      <c r="S36" s="65">
        <f t="shared" si="5"/>
        <v>19</v>
      </c>
      <c r="T36" s="71">
        <v>48</v>
      </c>
      <c r="U36" s="71">
        <v>60</v>
      </c>
      <c r="V36" s="70">
        <v>75</v>
      </c>
      <c r="W36" s="62">
        <f>SUM(LARGE(T36:V36,{1,2}))</f>
        <v>135</v>
      </c>
      <c r="X36" s="62">
        <f t="shared" si="6"/>
        <v>13.5</v>
      </c>
      <c r="Y36" s="66">
        <f t="shared" si="7"/>
        <v>14</v>
      </c>
      <c r="Z36" s="67">
        <f t="shared" si="8"/>
        <v>33</v>
      </c>
    </row>
    <row r="37" spans="1:26" ht="24.95" customHeight="1">
      <c r="A37" s="30">
        <v>25</v>
      </c>
      <c r="B37" s="30" t="s">
        <v>125</v>
      </c>
      <c r="C37" s="75" t="s">
        <v>126</v>
      </c>
      <c r="D37" s="71">
        <v>4</v>
      </c>
      <c r="E37" s="71">
        <v>4</v>
      </c>
      <c r="F37" s="70">
        <v>4</v>
      </c>
      <c r="G37" s="62">
        <f>SUM(LARGE(D37:F37,{1,2}))</f>
        <v>8</v>
      </c>
      <c r="H37" s="62">
        <f t="shared" si="0"/>
        <v>4</v>
      </c>
      <c r="I37" s="63">
        <f t="shared" si="1"/>
        <v>4</v>
      </c>
      <c r="J37" s="71">
        <v>24</v>
      </c>
      <c r="K37" s="71">
        <v>23</v>
      </c>
      <c r="L37" s="70">
        <v>23</v>
      </c>
      <c r="M37" s="62">
        <f>SUM(LARGE(J37:L37,{1,2}))</f>
        <v>47</v>
      </c>
      <c r="N37" s="62">
        <f t="shared" si="2"/>
        <v>4.7</v>
      </c>
      <c r="O37" s="63">
        <f t="shared" si="3"/>
        <v>5</v>
      </c>
      <c r="P37" s="63">
        <v>5</v>
      </c>
      <c r="Q37" s="68">
        <v>90</v>
      </c>
      <c r="R37" s="64">
        <f t="shared" si="4"/>
        <v>4</v>
      </c>
      <c r="S37" s="65">
        <f t="shared" si="5"/>
        <v>18</v>
      </c>
      <c r="T37" s="71">
        <v>46</v>
      </c>
      <c r="U37" s="71">
        <v>40</v>
      </c>
      <c r="V37" s="70">
        <v>43</v>
      </c>
      <c r="W37" s="62">
        <f>SUM(LARGE(T37:V37,{1,2}))</f>
        <v>89</v>
      </c>
      <c r="X37" s="62">
        <f t="shared" si="6"/>
        <v>8.9</v>
      </c>
      <c r="Y37" s="66">
        <f t="shared" si="7"/>
        <v>9</v>
      </c>
      <c r="Z37" s="67">
        <f t="shared" si="8"/>
        <v>27</v>
      </c>
    </row>
    <row r="38" spans="1:26" ht="24.95" customHeight="1">
      <c r="A38" s="30">
        <v>26</v>
      </c>
      <c r="B38" s="30" t="s">
        <v>127</v>
      </c>
      <c r="C38" s="75" t="s">
        <v>128</v>
      </c>
      <c r="D38" s="71">
        <v>5</v>
      </c>
      <c r="E38" s="71">
        <v>4</v>
      </c>
      <c r="F38" s="70">
        <v>4</v>
      </c>
      <c r="G38" s="62">
        <f>SUM(LARGE(D38:F38,{1,2}))</f>
        <v>9</v>
      </c>
      <c r="H38" s="62">
        <f t="shared" si="0"/>
        <v>4.5</v>
      </c>
      <c r="I38" s="63">
        <f t="shared" si="1"/>
        <v>5</v>
      </c>
      <c r="J38" s="71">
        <v>25</v>
      </c>
      <c r="K38" s="71">
        <v>23</v>
      </c>
      <c r="L38" s="70">
        <v>23</v>
      </c>
      <c r="M38" s="62">
        <f>SUM(LARGE(J38:L38,{1,2}))</f>
        <v>48</v>
      </c>
      <c r="N38" s="62">
        <f t="shared" si="2"/>
        <v>4.8</v>
      </c>
      <c r="O38" s="63">
        <f t="shared" si="3"/>
        <v>5</v>
      </c>
      <c r="P38" s="63">
        <v>5</v>
      </c>
      <c r="Q38" s="68">
        <v>84</v>
      </c>
      <c r="R38" s="64">
        <f t="shared" si="4"/>
        <v>2</v>
      </c>
      <c r="S38" s="65">
        <f t="shared" si="5"/>
        <v>17</v>
      </c>
      <c r="T38" s="71">
        <v>50</v>
      </c>
      <c r="U38" s="71">
        <v>46</v>
      </c>
      <c r="V38" s="70">
        <v>40</v>
      </c>
      <c r="W38" s="62">
        <f>SUM(LARGE(T38:V38,{1,2}))</f>
        <v>96</v>
      </c>
      <c r="X38" s="62">
        <f t="shared" si="6"/>
        <v>9.6</v>
      </c>
      <c r="Y38" s="66">
        <f t="shared" si="7"/>
        <v>10</v>
      </c>
      <c r="Z38" s="67">
        <f t="shared" si="8"/>
        <v>27</v>
      </c>
    </row>
    <row r="39" spans="1:26" ht="24.95" customHeight="1">
      <c r="A39" s="30">
        <v>27</v>
      </c>
      <c r="B39" s="30" t="s">
        <v>129</v>
      </c>
      <c r="C39" s="75" t="s">
        <v>130</v>
      </c>
      <c r="D39" s="71">
        <v>5</v>
      </c>
      <c r="E39" s="71">
        <v>5</v>
      </c>
      <c r="F39" s="70">
        <v>4</v>
      </c>
      <c r="G39" s="62">
        <f>SUM(LARGE(D39:F39,{1,2}))</f>
        <v>10</v>
      </c>
      <c r="H39" s="62">
        <f t="shared" si="0"/>
        <v>5</v>
      </c>
      <c r="I39" s="63">
        <f t="shared" si="1"/>
        <v>5</v>
      </c>
      <c r="J39" s="71">
        <v>25</v>
      </c>
      <c r="K39" s="71">
        <v>24</v>
      </c>
      <c r="L39" s="70">
        <v>23</v>
      </c>
      <c r="M39" s="62">
        <f>SUM(LARGE(J39:L39,{1,2}))</f>
        <v>49</v>
      </c>
      <c r="N39" s="62">
        <f t="shared" si="2"/>
        <v>4.9000000000000004</v>
      </c>
      <c r="O39" s="63">
        <f t="shared" si="3"/>
        <v>5</v>
      </c>
      <c r="P39" s="63">
        <v>5</v>
      </c>
      <c r="Q39" s="68">
        <v>86</v>
      </c>
      <c r="R39" s="64">
        <f t="shared" si="4"/>
        <v>3</v>
      </c>
      <c r="S39" s="65">
        <f t="shared" si="5"/>
        <v>18</v>
      </c>
      <c r="T39" s="71">
        <v>26</v>
      </c>
      <c r="U39" s="71">
        <v>40</v>
      </c>
      <c r="V39" s="70">
        <v>45</v>
      </c>
      <c r="W39" s="62">
        <f>SUM(LARGE(T39:V39,{1,2}))</f>
        <v>85</v>
      </c>
      <c r="X39" s="62">
        <f t="shared" si="6"/>
        <v>8.5</v>
      </c>
      <c r="Y39" s="66">
        <f t="shared" si="7"/>
        <v>9</v>
      </c>
      <c r="Z39" s="67">
        <f t="shared" si="8"/>
        <v>27</v>
      </c>
    </row>
    <row r="40" spans="1:26" ht="24.95" customHeight="1">
      <c r="A40" s="30">
        <v>28</v>
      </c>
      <c r="B40" s="30" t="s">
        <v>131</v>
      </c>
      <c r="C40" s="75" t="s">
        <v>132</v>
      </c>
      <c r="D40" s="71">
        <v>5</v>
      </c>
      <c r="E40" s="71">
        <v>5</v>
      </c>
      <c r="F40" s="70">
        <v>5</v>
      </c>
      <c r="G40" s="62">
        <f>SUM(LARGE(D40:F40,{1,2}))</f>
        <v>10</v>
      </c>
      <c r="H40" s="62">
        <f t="shared" si="0"/>
        <v>5</v>
      </c>
      <c r="I40" s="63">
        <f t="shared" si="1"/>
        <v>5</v>
      </c>
      <c r="J40" s="71">
        <v>25</v>
      </c>
      <c r="K40" s="71">
        <v>25</v>
      </c>
      <c r="L40" s="70">
        <v>24</v>
      </c>
      <c r="M40" s="62">
        <f>SUM(LARGE(J40:L40,{1,2}))</f>
        <v>50</v>
      </c>
      <c r="N40" s="62">
        <f t="shared" si="2"/>
        <v>5</v>
      </c>
      <c r="O40" s="63">
        <f t="shared" si="3"/>
        <v>5</v>
      </c>
      <c r="P40" s="63">
        <v>5</v>
      </c>
      <c r="Q40" s="68">
        <v>83</v>
      </c>
      <c r="R40" s="64">
        <f t="shared" si="4"/>
        <v>2</v>
      </c>
      <c r="S40" s="65">
        <f t="shared" si="5"/>
        <v>17</v>
      </c>
      <c r="T40" s="71">
        <v>46</v>
      </c>
      <c r="U40" s="71">
        <v>52</v>
      </c>
      <c r="V40" s="70">
        <v>70</v>
      </c>
      <c r="W40" s="62">
        <f>SUM(LARGE(T40:V40,{1,2}))</f>
        <v>122</v>
      </c>
      <c r="X40" s="62">
        <f t="shared" si="6"/>
        <v>12.2</v>
      </c>
      <c r="Y40" s="66">
        <f t="shared" si="7"/>
        <v>13</v>
      </c>
      <c r="Z40" s="67">
        <f t="shared" si="8"/>
        <v>30</v>
      </c>
    </row>
    <row r="41" spans="1:26" ht="24.95" customHeight="1">
      <c r="A41" s="30">
        <v>29</v>
      </c>
      <c r="B41" s="30" t="s">
        <v>133</v>
      </c>
      <c r="C41" s="75" t="s">
        <v>134</v>
      </c>
      <c r="D41" s="71">
        <v>5</v>
      </c>
      <c r="E41" s="71">
        <v>5</v>
      </c>
      <c r="F41" s="70">
        <v>5</v>
      </c>
      <c r="G41" s="62">
        <f>SUM(LARGE(D41:F41,{1,2}))</f>
        <v>10</v>
      </c>
      <c r="H41" s="62">
        <f t="shared" si="0"/>
        <v>5</v>
      </c>
      <c r="I41" s="63">
        <f t="shared" si="1"/>
        <v>5</v>
      </c>
      <c r="J41" s="71">
        <v>25</v>
      </c>
      <c r="K41" s="71">
        <v>24</v>
      </c>
      <c r="L41" s="70">
        <v>24</v>
      </c>
      <c r="M41" s="62">
        <f>SUM(LARGE(J41:L41,{1,2}))</f>
        <v>49</v>
      </c>
      <c r="N41" s="62">
        <f t="shared" si="2"/>
        <v>4.9000000000000004</v>
      </c>
      <c r="O41" s="63">
        <f t="shared" si="3"/>
        <v>5</v>
      </c>
      <c r="P41" s="63">
        <v>5</v>
      </c>
      <c r="Q41" s="68">
        <v>84</v>
      </c>
      <c r="R41" s="64">
        <f t="shared" si="4"/>
        <v>2</v>
      </c>
      <c r="S41" s="65">
        <f t="shared" si="5"/>
        <v>17</v>
      </c>
      <c r="T41" s="71">
        <v>72</v>
      </c>
      <c r="U41" s="71">
        <v>74</v>
      </c>
      <c r="V41" s="70">
        <v>63</v>
      </c>
      <c r="W41" s="62">
        <f>SUM(LARGE(T41:V41,{1,2}))</f>
        <v>146</v>
      </c>
      <c r="X41" s="62">
        <f t="shared" si="6"/>
        <v>14.6</v>
      </c>
      <c r="Y41" s="66">
        <f t="shared" si="7"/>
        <v>15</v>
      </c>
      <c r="Z41" s="67">
        <f t="shared" si="8"/>
        <v>32</v>
      </c>
    </row>
    <row r="42" spans="1:26" ht="24.95" customHeight="1">
      <c r="A42" s="30">
        <v>30</v>
      </c>
      <c r="B42" s="30" t="s">
        <v>135</v>
      </c>
      <c r="C42" s="75" t="s">
        <v>136</v>
      </c>
      <c r="D42" s="71">
        <v>5</v>
      </c>
      <c r="E42" s="71">
        <v>5</v>
      </c>
      <c r="F42" s="70">
        <v>5</v>
      </c>
      <c r="G42" s="62">
        <f>SUM(LARGE(D42:F42,{1,2}))</f>
        <v>10</v>
      </c>
      <c r="H42" s="62">
        <f t="shared" si="0"/>
        <v>5</v>
      </c>
      <c r="I42" s="63">
        <f t="shared" si="1"/>
        <v>5</v>
      </c>
      <c r="J42" s="71">
        <v>25</v>
      </c>
      <c r="K42" s="71">
        <v>25</v>
      </c>
      <c r="L42" s="70">
        <v>25</v>
      </c>
      <c r="M42" s="62">
        <f>SUM(LARGE(J42:L42,{1,2}))</f>
        <v>50</v>
      </c>
      <c r="N42" s="62">
        <f t="shared" si="2"/>
        <v>5</v>
      </c>
      <c r="O42" s="63">
        <f t="shared" si="3"/>
        <v>5</v>
      </c>
      <c r="P42" s="63">
        <v>5</v>
      </c>
      <c r="Q42" s="68">
        <v>96</v>
      </c>
      <c r="R42" s="64">
        <f t="shared" si="4"/>
        <v>5</v>
      </c>
      <c r="S42" s="65">
        <f t="shared" si="5"/>
        <v>20</v>
      </c>
      <c r="T42" s="71">
        <v>90</v>
      </c>
      <c r="U42" s="71">
        <v>94</v>
      </c>
      <c r="V42" s="70">
        <v>93</v>
      </c>
      <c r="W42" s="62">
        <f>SUM(LARGE(T42:V42,{1,2}))</f>
        <v>187</v>
      </c>
      <c r="X42" s="62">
        <f t="shared" si="6"/>
        <v>18.7</v>
      </c>
      <c r="Y42" s="66">
        <f t="shared" si="7"/>
        <v>19</v>
      </c>
      <c r="Z42" s="67">
        <f t="shared" si="8"/>
        <v>39</v>
      </c>
    </row>
    <row r="43" spans="1:26" ht="24.95" customHeight="1">
      <c r="A43" s="30">
        <v>31</v>
      </c>
      <c r="B43" s="30" t="s">
        <v>137</v>
      </c>
      <c r="C43" s="75" t="s">
        <v>138</v>
      </c>
      <c r="D43" s="71">
        <v>5</v>
      </c>
      <c r="E43" s="71">
        <v>5</v>
      </c>
      <c r="F43" s="70">
        <v>5</v>
      </c>
      <c r="G43" s="62">
        <f>SUM(LARGE(D43:F43,{1,2}))</f>
        <v>10</v>
      </c>
      <c r="H43" s="62">
        <f t="shared" si="0"/>
        <v>5</v>
      </c>
      <c r="I43" s="63">
        <f t="shared" si="1"/>
        <v>5</v>
      </c>
      <c r="J43" s="71">
        <v>25</v>
      </c>
      <c r="K43" s="71">
        <v>25</v>
      </c>
      <c r="L43" s="70">
        <v>25</v>
      </c>
      <c r="M43" s="62">
        <f>SUM(LARGE(J43:L43,{1,2}))</f>
        <v>50</v>
      </c>
      <c r="N43" s="62">
        <f t="shared" si="2"/>
        <v>5</v>
      </c>
      <c r="O43" s="63">
        <f t="shared" si="3"/>
        <v>5</v>
      </c>
      <c r="P43" s="63">
        <v>5</v>
      </c>
      <c r="Q43" s="68">
        <v>87</v>
      </c>
      <c r="R43" s="64">
        <f t="shared" si="4"/>
        <v>3</v>
      </c>
      <c r="S43" s="65">
        <f t="shared" si="5"/>
        <v>18</v>
      </c>
      <c r="T43" s="71">
        <v>92</v>
      </c>
      <c r="U43" s="71">
        <v>92</v>
      </c>
      <c r="V43" s="70">
        <v>88</v>
      </c>
      <c r="W43" s="62">
        <f>SUM(LARGE(T43:V43,{1,2}))</f>
        <v>184</v>
      </c>
      <c r="X43" s="62">
        <f t="shared" si="6"/>
        <v>18.399999999999999</v>
      </c>
      <c r="Y43" s="66">
        <f t="shared" si="7"/>
        <v>19</v>
      </c>
      <c r="Z43" s="67">
        <f t="shared" si="8"/>
        <v>37</v>
      </c>
    </row>
    <row r="44" spans="1:26" ht="24.95" customHeight="1">
      <c r="A44" s="30">
        <v>32</v>
      </c>
      <c r="B44" s="30" t="s">
        <v>139</v>
      </c>
      <c r="C44" s="75" t="s">
        <v>140</v>
      </c>
      <c r="D44" s="71">
        <v>5</v>
      </c>
      <c r="E44" s="71">
        <v>5</v>
      </c>
      <c r="F44" s="70">
        <v>5</v>
      </c>
      <c r="G44" s="62">
        <f>SUM(LARGE(D44:F44,{1,2}))</f>
        <v>10</v>
      </c>
      <c r="H44" s="62">
        <f t="shared" si="0"/>
        <v>5</v>
      </c>
      <c r="I44" s="63">
        <f t="shared" si="1"/>
        <v>5</v>
      </c>
      <c r="J44" s="71">
        <v>25</v>
      </c>
      <c r="K44" s="71">
        <v>25</v>
      </c>
      <c r="L44" s="70">
        <v>25</v>
      </c>
      <c r="M44" s="62">
        <f>SUM(LARGE(J44:L44,{1,2}))</f>
        <v>50</v>
      </c>
      <c r="N44" s="62">
        <f t="shared" si="2"/>
        <v>5</v>
      </c>
      <c r="O44" s="63">
        <f t="shared" si="3"/>
        <v>5</v>
      </c>
      <c r="P44" s="63">
        <v>5</v>
      </c>
      <c r="Q44" s="68">
        <v>93</v>
      </c>
      <c r="R44" s="64">
        <f t="shared" si="4"/>
        <v>4</v>
      </c>
      <c r="S44" s="65">
        <f t="shared" si="5"/>
        <v>19</v>
      </c>
      <c r="T44" s="71">
        <v>94</v>
      </c>
      <c r="U44" s="71">
        <v>96</v>
      </c>
      <c r="V44" s="70">
        <v>95</v>
      </c>
      <c r="W44" s="62">
        <f>SUM(LARGE(T44:V44,{1,2}))</f>
        <v>191</v>
      </c>
      <c r="X44" s="62">
        <f t="shared" si="6"/>
        <v>19.100000000000001</v>
      </c>
      <c r="Y44" s="66">
        <f t="shared" si="7"/>
        <v>20</v>
      </c>
      <c r="Z44" s="67">
        <f t="shared" si="8"/>
        <v>39</v>
      </c>
    </row>
    <row r="45" spans="1:26" ht="24.95" customHeight="1">
      <c r="A45" s="30">
        <v>33</v>
      </c>
      <c r="B45" s="30" t="s">
        <v>141</v>
      </c>
      <c r="C45" s="76" t="s">
        <v>142</v>
      </c>
      <c r="D45" s="71">
        <v>5</v>
      </c>
      <c r="E45" s="71">
        <v>5</v>
      </c>
      <c r="F45" s="70">
        <v>5</v>
      </c>
      <c r="G45" s="62">
        <f>SUM(LARGE(D45:F45,{1,2}))</f>
        <v>10</v>
      </c>
      <c r="H45" s="62">
        <f t="shared" si="0"/>
        <v>5</v>
      </c>
      <c r="I45" s="63">
        <f t="shared" si="1"/>
        <v>5</v>
      </c>
      <c r="J45" s="71">
        <v>25</v>
      </c>
      <c r="K45" s="71">
        <v>25</v>
      </c>
      <c r="L45" s="70">
        <v>24</v>
      </c>
      <c r="M45" s="62">
        <f>SUM(LARGE(J45:L45,{1,2}))</f>
        <v>50</v>
      </c>
      <c r="N45" s="62">
        <f t="shared" si="2"/>
        <v>5</v>
      </c>
      <c r="O45" s="63">
        <f t="shared" si="3"/>
        <v>5</v>
      </c>
      <c r="P45" s="63">
        <v>5</v>
      </c>
      <c r="Q45" s="68">
        <v>88</v>
      </c>
      <c r="R45" s="64">
        <f t="shared" si="4"/>
        <v>3</v>
      </c>
      <c r="S45" s="65">
        <f t="shared" si="5"/>
        <v>18</v>
      </c>
      <c r="T45" s="71">
        <v>66</v>
      </c>
      <c r="U45" s="71">
        <v>56</v>
      </c>
      <c r="V45" s="70">
        <v>53</v>
      </c>
      <c r="W45" s="62">
        <f>SUM(LARGE(T45:V45,{1,2}))</f>
        <v>122</v>
      </c>
      <c r="X45" s="62">
        <f t="shared" si="6"/>
        <v>12.2</v>
      </c>
      <c r="Y45" s="66">
        <f t="shared" si="7"/>
        <v>13</v>
      </c>
      <c r="Z45" s="67">
        <f t="shared" si="8"/>
        <v>31</v>
      </c>
    </row>
    <row r="46" spans="1:26" ht="24.95" customHeight="1">
      <c r="A46" s="30">
        <v>34</v>
      </c>
      <c r="B46" s="30" t="s">
        <v>143</v>
      </c>
      <c r="C46" s="75" t="s">
        <v>144</v>
      </c>
      <c r="D46" s="71">
        <v>5</v>
      </c>
      <c r="E46" s="71">
        <v>5</v>
      </c>
      <c r="F46" s="70">
        <v>5</v>
      </c>
      <c r="G46" s="62">
        <f>SUM(LARGE(D46:F46,{1,2}))</f>
        <v>10</v>
      </c>
      <c r="H46" s="62">
        <f t="shared" si="0"/>
        <v>5</v>
      </c>
      <c r="I46" s="63">
        <f t="shared" si="1"/>
        <v>5</v>
      </c>
      <c r="J46" s="71">
        <v>25</v>
      </c>
      <c r="K46" s="71">
        <v>25</v>
      </c>
      <c r="L46" s="70">
        <v>25</v>
      </c>
      <c r="M46" s="62">
        <f>SUM(LARGE(J46:L46,{1,2}))</f>
        <v>50</v>
      </c>
      <c r="N46" s="62">
        <f t="shared" si="2"/>
        <v>5</v>
      </c>
      <c r="O46" s="63">
        <f t="shared" si="3"/>
        <v>5</v>
      </c>
      <c r="P46" s="63">
        <v>5</v>
      </c>
      <c r="Q46" s="68">
        <v>92</v>
      </c>
      <c r="R46" s="64">
        <f t="shared" si="4"/>
        <v>4</v>
      </c>
      <c r="S46" s="65">
        <f t="shared" si="5"/>
        <v>19</v>
      </c>
      <c r="T46" s="71">
        <v>88</v>
      </c>
      <c r="U46" s="71">
        <v>88</v>
      </c>
      <c r="V46" s="70">
        <v>68</v>
      </c>
      <c r="W46" s="62">
        <f>SUM(LARGE(T46:V46,{1,2}))</f>
        <v>176</v>
      </c>
      <c r="X46" s="62">
        <f t="shared" si="6"/>
        <v>17.600000000000001</v>
      </c>
      <c r="Y46" s="66">
        <f t="shared" si="7"/>
        <v>18</v>
      </c>
      <c r="Z46" s="67">
        <f t="shared" si="8"/>
        <v>37</v>
      </c>
    </row>
    <row r="47" spans="1:26" ht="24.95" customHeight="1">
      <c r="A47" s="30">
        <v>35</v>
      </c>
      <c r="B47" s="30" t="s">
        <v>145</v>
      </c>
      <c r="C47" s="75" t="s">
        <v>146</v>
      </c>
      <c r="D47" s="71">
        <v>5</v>
      </c>
      <c r="E47" s="71">
        <v>5</v>
      </c>
      <c r="F47" s="70">
        <v>5</v>
      </c>
      <c r="G47" s="62">
        <f>SUM(LARGE(D47:F47,{1,2}))</f>
        <v>10</v>
      </c>
      <c r="H47" s="62">
        <f t="shared" si="0"/>
        <v>5</v>
      </c>
      <c r="I47" s="63">
        <f t="shared" si="1"/>
        <v>5</v>
      </c>
      <c r="J47" s="71">
        <v>25</v>
      </c>
      <c r="K47" s="71">
        <v>25</v>
      </c>
      <c r="L47" s="70">
        <v>25</v>
      </c>
      <c r="M47" s="62">
        <f>SUM(LARGE(J47:L47,{1,2}))</f>
        <v>50</v>
      </c>
      <c r="N47" s="62">
        <f t="shared" si="2"/>
        <v>5</v>
      </c>
      <c r="O47" s="63">
        <f t="shared" si="3"/>
        <v>5</v>
      </c>
      <c r="P47" s="63">
        <v>5</v>
      </c>
      <c r="Q47" s="68">
        <v>99</v>
      </c>
      <c r="R47" s="64">
        <f t="shared" si="4"/>
        <v>5</v>
      </c>
      <c r="S47" s="65">
        <f t="shared" si="5"/>
        <v>20</v>
      </c>
      <c r="T47" s="71">
        <v>56</v>
      </c>
      <c r="U47" s="71">
        <v>76</v>
      </c>
      <c r="V47" s="70">
        <v>80</v>
      </c>
      <c r="W47" s="62">
        <f>SUM(LARGE(T47:V47,{1,2}))</f>
        <v>156</v>
      </c>
      <c r="X47" s="62">
        <f t="shared" si="6"/>
        <v>15.6</v>
      </c>
      <c r="Y47" s="66">
        <f t="shared" si="7"/>
        <v>16</v>
      </c>
      <c r="Z47" s="67">
        <f t="shared" si="8"/>
        <v>36</v>
      </c>
    </row>
    <row r="48" spans="1:26" ht="24.95" customHeight="1">
      <c r="A48" s="30">
        <v>36</v>
      </c>
      <c r="B48" s="30" t="s">
        <v>147</v>
      </c>
      <c r="C48" s="75" t="s">
        <v>148</v>
      </c>
      <c r="D48" s="71">
        <v>5</v>
      </c>
      <c r="E48" s="71">
        <v>4</v>
      </c>
      <c r="F48" s="70">
        <v>4</v>
      </c>
      <c r="G48" s="62">
        <f>SUM(LARGE(D48:F48,{1,2}))</f>
        <v>9</v>
      </c>
      <c r="H48" s="62">
        <f t="shared" si="0"/>
        <v>4.5</v>
      </c>
      <c r="I48" s="63">
        <f t="shared" si="1"/>
        <v>5</v>
      </c>
      <c r="J48" s="71">
        <v>25</v>
      </c>
      <c r="K48" s="71">
        <v>23</v>
      </c>
      <c r="L48" s="70">
        <v>23</v>
      </c>
      <c r="M48" s="62">
        <f>SUM(LARGE(J48:L48,{1,2}))</f>
        <v>48</v>
      </c>
      <c r="N48" s="62">
        <f t="shared" si="2"/>
        <v>4.8</v>
      </c>
      <c r="O48" s="63">
        <f t="shared" si="3"/>
        <v>5</v>
      </c>
      <c r="P48" s="63">
        <v>5</v>
      </c>
      <c r="Q48" s="68">
        <v>80</v>
      </c>
      <c r="R48" s="64">
        <f t="shared" si="4"/>
        <v>2</v>
      </c>
      <c r="S48" s="65">
        <f t="shared" si="5"/>
        <v>17</v>
      </c>
      <c r="T48" s="71">
        <v>40</v>
      </c>
      <c r="U48" s="71">
        <v>50</v>
      </c>
      <c r="V48" s="70">
        <v>43</v>
      </c>
      <c r="W48" s="62">
        <f>SUM(LARGE(T48:V48,{1,2}))</f>
        <v>93</v>
      </c>
      <c r="X48" s="62">
        <f t="shared" si="6"/>
        <v>9.3000000000000007</v>
      </c>
      <c r="Y48" s="66">
        <f t="shared" si="7"/>
        <v>10</v>
      </c>
      <c r="Z48" s="67">
        <f t="shared" si="8"/>
        <v>27</v>
      </c>
    </row>
    <row r="49" spans="1:26" ht="24.95" customHeight="1">
      <c r="A49" s="30">
        <v>37</v>
      </c>
      <c r="B49" s="30" t="s">
        <v>149</v>
      </c>
      <c r="C49" s="75" t="s">
        <v>150</v>
      </c>
      <c r="D49" s="71">
        <v>5</v>
      </c>
      <c r="E49" s="71">
        <v>5</v>
      </c>
      <c r="F49" s="70">
        <v>5</v>
      </c>
      <c r="G49" s="62">
        <f>SUM(LARGE(D49:F49,{1,2}))</f>
        <v>10</v>
      </c>
      <c r="H49" s="62">
        <f t="shared" si="0"/>
        <v>5</v>
      </c>
      <c r="I49" s="63">
        <f t="shared" si="1"/>
        <v>5</v>
      </c>
      <c r="J49" s="71">
        <v>25</v>
      </c>
      <c r="K49" s="71">
        <v>25</v>
      </c>
      <c r="L49" s="70">
        <v>25</v>
      </c>
      <c r="M49" s="62">
        <f>SUM(LARGE(J49:L49,{1,2}))</f>
        <v>50</v>
      </c>
      <c r="N49" s="62">
        <f t="shared" si="2"/>
        <v>5</v>
      </c>
      <c r="O49" s="63">
        <f t="shared" si="3"/>
        <v>5</v>
      </c>
      <c r="P49" s="63">
        <v>5</v>
      </c>
      <c r="Q49" s="68">
        <v>94</v>
      </c>
      <c r="R49" s="64">
        <f t="shared" si="4"/>
        <v>4</v>
      </c>
      <c r="S49" s="65">
        <f t="shared" si="5"/>
        <v>19</v>
      </c>
      <c r="T49" s="71">
        <v>90</v>
      </c>
      <c r="U49" s="71">
        <v>92</v>
      </c>
      <c r="V49" s="70">
        <v>90</v>
      </c>
      <c r="W49" s="62">
        <f>SUM(LARGE(T49:V49,{1,2}))</f>
        <v>182</v>
      </c>
      <c r="X49" s="62">
        <f t="shared" si="6"/>
        <v>18.2</v>
      </c>
      <c r="Y49" s="66">
        <f t="shared" si="7"/>
        <v>19</v>
      </c>
      <c r="Z49" s="67">
        <f t="shared" si="8"/>
        <v>38</v>
      </c>
    </row>
    <row r="50" spans="1:26" ht="24.95" customHeight="1">
      <c r="A50" s="30">
        <v>38</v>
      </c>
      <c r="B50" s="30" t="s">
        <v>151</v>
      </c>
      <c r="C50" s="75" t="s">
        <v>152</v>
      </c>
      <c r="D50" s="71">
        <v>4</v>
      </c>
      <c r="E50" s="71">
        <v>5</v>
      </c>
      <c r="F50" s="70">
        <v>5</v>
      </c>
      <c r="G50" s="62">
        <f>SUM(LARGE(D50:F50,{1,2}))</f>
        <v>10</v>
      </c>
      <c r="H50" s="62">
        <f t="shared" si="0"/>
        <v>5</v>
      </c>
      <c r="I50" s="63">
        <f t="shared" si="1"/>
        <v>5</v>
      </c>
      <c r="J50" s="71">
        <v>24</v>
      </c>
      <c r="K50" s="71">
        <v>24</v>
      </c>
      <c r="L50" s="70">
        <v>25</v>
      </c>
      <c r="M50" s="62">
        <f>SUM(LARGE(J50:L50,{1,2}))</f>
        <v>49</v>
      </c>
      <c r="N50" s="62">
        <f t="shared" si="2"/>
        <v>4.9000000000000004</v>
      </c>
      <c r="O50" s="63">
        <f t="shared" si="3"/>
        <v>5</v>
      </c>
      <c r="P50" s="63">
        <v>5</v>
      </c>
      <c r="Q50" s="68">
        <v>87</v>
      </c>
      <c r="R50" s="64">
        <f t="shared" si="4"/>
        <v>3</v>
      </c>
      <c r="S50" s="65">
        <f t="shared" si="5"/>
        <v>18</v>
      </c>
      <c r="T50" s="71">
        <v>62</v>
      </c>
      <c r="U50" s="71">
        <v>40</v>
      </c>
      <c r="V50" s="70">
        <v>88</v>
      </c>
      <c r="W50" s="62">
        <f>SUM(LARGE(T50:V50,{1,2}))</f>
        <v>150</v>
      </c>
      <c r="X50" s="62">
        <f t="shared" si="6"/>
        <v>15</v>
      </c>
      <c r="Y50" s="66">
        <f t="shared" si="7"/>
        <v>15</v>
      </c>
      <c r="Z50" s="67">
        <f t="shared" si="8"/>
        <v>33</v>
      </c>
    </row>
    <row r="51" spans="1:26" ht="24.95" customHeight="1">
      <c r="A51" s="30">
        <v>39</v>
      </c>
      <c r="B51" s="30" t="s">
        <v>153</v>
      </c>
      <c r="C51" s="75" t="s">
        <v>154</v>
      </c>
      <c r="D51" s="71">
        <v>5</v>
      </c>
      <c r="E51" s="71">
        <v>5</v>
      </c>
      <c r="F51" s="70">
        <v>4</v>
      </c>
      <c r="G51" s="62">
        <f>SUM(LARGE(D51:F51,{1,2}))</f>
        <v>10</v>
      </c>
      <c r="H51" s="62">
        <f t="shared" si="0"/>
        <v>5</v>
      </c>
      <c r="I51" s="63">
        <f t="shared" si="1"/>
        <v>5</v>
      </c>
      <c r="J51" s="71">
        <v>25</v>
      </c>
      <c r="K51" s="71">
        <v>24</v>
      </c>
      <c r="L51" s="70">
        <v>23</v>
      </c>
      <c r="M51" s="62">
        <f>SUM(LARGE(J51:L51,{1,2}))</f>
        <v>49</v>
      </c>
      <c r="N51" s="62">
        <f t="shared" si="2"/>
        <v>4.9000000000000004</v>
      </c>
      <c r="O51" s="63">
        <f t="shared" si="3"/>
        <v>5</v>
      </c>
      <c r="P51" s="63">
        <v>5</v>
      </c>
      <c r="Q51" s="68">
        <v>81</v>
      </c>
      <c r="R51" s="64">
        <f t="shared" si="4"/>
        <v>2</v>
      </c>
      <c r="S51" s="65">
        <f t="shared" si="5"/>
        <v>17</v>
      </c>
      <c r="T51" s="71">
        <v>18</v>
      </c>
      <c r="U51" s="71">
        <v>48</v>
      </c>
      <c r="V51" s="70">
        <v>43</v>
      </c>
      <c r="W51" s="62">
        <f>SUM(LARGE(T51:V51,{1,2}))</f>
        <v>91</v>
      </c>
      <c r="X51" s="62">
        <f t="shared" si="6"/>
        <v>9.1</v>
      </c>
      <c r="Y51" s="66">
        <f t="shared" si="7"/>
        <v>10</v>
      </c>
      <c r="Z51" s="67">
        <f t="shared" si="8"/>
        <v>27</v>
      </c>
    </row>
    <row r="52" spans="1:26" ht="24.95" customHeight="1">
      <c r="A52" s="30">
        <v>40</v>
      </c>
      <c r="B52" s="30" t="s">
        <v>155</v>
      </c>
      <c r="C52" s="75" t="s">
        <v>156</v>
      </c>
      <c r="D52" s="71">
        <v>5</v>
      </c>
      <c r="E52" s="71">
        <v>5</v>
      </c>
      <c r="F52" s="70">
        <v>5</v>
      </c>
      <c r="G52" s="62">
        <f>SUM(LARGE(D52:F52,{1,2}))</f>
        <v>10</v>
      </c>
      <c r="H52" s="62">
        <f t="shared" si="0"/>
        <v>5</v>
      </c>
      <c r="I52" s="63">
        <f t="shared" si="1"/>
        <v>5</v>
      </c>
      <c r="J52" s="71">
        <v>25</v>
      </c>
      <c r="K52" s="71">
        <v>25</v>
      </c>
      <c r="L52" s="70">
        <v>25</v>
      </c>
      <c r="M52" s="62">
        <f>SUM(LARGE(J52:L52,{1,2}))</f>
        <v>50</v>
      </c>
      <c r="N52" s="62">
        <f t="shared" si="2"/>
        <v>5</v>
      </c>
      <c r="O52" s="63">
        <f t="shared" si="3"/>
        <v>5</v>
      </c>
      <c r="P52" s="63">
        <v>5</v>
      </c>
      <c r="Q52" s="68">
        <v>88</v>
      </c>
      <c r="R52" s="64">
        <f t="shared" si="4"/>
        <v>3</v>
      </c>
      <c r="S52" s="65">
        <f t="shared" si="5"/>
        <v>18</v>
      </c>
      <c r="T52" s="71">
        <v>90</v>
      </c>
      <c r="U52" s="71">
        <v>98</v>
      </c>
      <c r="V52" s="70">
        <v>88</v>
      </c>
      <c r="W52" s="62">
        <f>SUM(LARGE(T52:V52,{1,2}))</f>
        <v>188</v>
      </c>
      <c r="X52" s="62">
        <f t="shared" si="6"/>
        <v>18.8</v>
      </c>
      <c r="Y52" s="66">
        <f t="shared" si="7"/>
        <v>19</v>
      </c>
      <c r="Z52" s="67">
        <f t="shared" si="8"/>
        <v>37</v>
      </c>
    </row>
    <row r="53" spans="1:26" ht="24.95" customHeight="1">
      <c r="A53" s="30">
        <v>41</v>
      </c>
      <c r="B53" s="30" t="s">
        <v>157</v>
      </c>
      <c r="C53" s="75" t="s">
        <v>158</v>
      </c>
      <c r="D53" s="71">
        <v>5</v>
      </c>
      <c r="E53" s="71">
        <v>4</v>
      </c>
      <c r="F53" s="70">
        <v>5</v>
      </c>
      <c r="G53" s="62">
        <f>SUM(LARGE(D53:F53,{1,2}))</f>
        <v>10</v>
      </c>
      <c r="H53" s="62">
        <f t="shared" si="0"/>
        <v>5</v>
      </c>
      <c r="I53" s="63">
        <f t="shared" si="1"/>
        <v>5</v>
      </c>
      <c r="J53" s="71">
        <v>25</v>
      </c>
      <c r="K53" s="71">
        <v>24</v>
      </c>
      <c r="L53" s="70">
        <v>24</v>
      </c>
      <c r="M53" s="62">
        <f>SUM(LARGE(J53:L53,{1,2}))</f>
        <v>49</v>
      </c>
      <c r="N53" s="62">
        <f t="shared" si="2"/>
        <v>4.9000000000000004</v>
      </c>
      <c r="O53" s="63">
        <f t="shared" si="3"/>
        <v>5</v>
      </c>
      <c r="P53" s="63">
        <v>5</v>
      </c>
      <c r="Q53" s="68">
        <v>98</v>
      </c>
      <c r="R53" s="64">
        <f t="shared" si="4"/>
        <v>5</v>
      </c>
      <c r="S53" s="65">
        <f t="shared" si="5"/>
        <v>20</v>
      </c>
      <c r="T53" s="71">
        <v>40</v>
      </c>
      <c r="U53" s="71">
        <v>16</v>
      </c>
      <c r="V53" s="70">
        <v>55</v>
      </c>
      <c r="W53" s="62">
        <f>SUM(LARGE(T53:V53,{1,2}))</f>
        <v>95</v>
      </c>
      <c r="X53" s="62">
        <f t="shared" si="6"/>
        <v>9.5</v>
      </c>
      <c r="Y53" s="66">
        <f t="shared" si="7"/>
        <v>10</v>
      </c>
      <c r="Z53" s="67">
        <f t="shared" si="8"/>
        <v>30</v>
      </c>
    </row>
    <row r="54" spans="1:26" ht="24.95" customHeight="1">
      <c r="A54" s="30">
        <v>42</v>
      </c>
      <c r="B54" s="30" t="s">
        <v>159</v>
      </c>
      <c r="C54" s="75" t="s">
        <v>160</v>
      </c>
      <c r="D54" s="71">
        <v>5</v>
      </c>
      <c r="E54" s="71">
        <v>4</v>
      </c>
      <c r="F54" s="70">
        <v>4</v>
      </c>
      <c r="G54" s="62">
        <f>SUM(LARGE(D54:F54,{1,2}))</f>
        <v>9</v>
      </c>
      <c r="H54" s="62">
        <f t="shared" si="0"/>
        <v>4.5</v>
      </c>
      <c r="I54" s="63">
        <f t="shared" si="1"/>
        <v>5</v>
      </c>
      <c r="J54" s="71">
        <v>25</v>
      </c>
      <c r="K54" s="71">
        <v>23</v>
      </c>
      <c r="L54" s="70">
        <v>24</v>
      </c>
      <c r="M54" s="62">
        <f>SUM(LARGE(J54:L54,{1,2}))</f>
        <v>49</v>
      </c>
      <c r="N54" s="62">
        <f t="shared" si="2"/>
        <v>4.9000000000000004</v>
      </c>
      <c r="O54" s="63">
        <f t="shared" si="3"/>
        <v>5</v>
      </c>
      <c r="P54" s="63">
        <v>5</v>
      </c>
      <c r="Q54" s="74">
        <v>76</v>
      </c>
      <c r="R54" s="64">
        <f t="shared" si="4"/>
        <v>1</v>
      </c>
      <c r="S54" s="65">
        <f t="shared" si="5"/>
        <v>16</v>
      </c>
      <c r="T54" s="71">
        <v>44</v>
      </c>
      <c r="U54" s="77" t="s">
        <v>177</v>
      </c>
      <c r="V54" s="70">
        <v>55</v>
      </c>
      <c r="W54" s="62">
        <f>SUM(LARGE(T54:V54,{1,2}))</f>
        <v>99</v>
      </c>
      <c r="X54" s="62">
        <f t="shared" si="6"/>
        <v>9.9</v>
      </c>
      <c r="Y54" s="66">
        <f t="shared" si="7"/>
        <v>10</v>
      </c>
      <c r="Z54" s="67">
        <f t="shared" si="8"/>
        <v>26</v>
      </c>
    </row>
    <row r="55" spans="1:26" ht="24.95" customHeight="1">
      <c r="A55" s="30">
        <v>43</v>
      </c>
      <c r="B55" s="30" t="s">
        <v>161</v>
      </c>
      <c r="C55" s="75" t="s">
        <v>162</v>
      </c>
      <c r="D55" s="71">
        <v>5</v>
      </c>
      <c r="E55" s="71">
        <v>4</v>
      </c>
      <c r="F55" s="70">
        <v>5</v>
      </c>
      <c r="G55" s="62">
        <f>SUM(LARGE(D55:F55,{1,2}))</f>
        <v>10</v>
      </c>
      <c r="H55" s="62">
        <f t="shared" si="0"/>
        <v>5</v>
      </c>
      <c r="I55" s="63">
        <f t="shared" si="1"/>
        <v>5</v>
      </c>
      <c r="J55" s="71">
        <v>25</v>
      </c>
      <c r="K55" s="71">
        <v>24</v>
      </c>
      <c r="L55" s="70">
        <v>25</v>
      </c>
      <c r="M55" s="62">
        <f>SUM(LARGE(J55:L55,{1,2}))</f>
        <v>50</v>
      </c>
      <c r="N55" s="62">
        <f t="shared" si="2"/>
        <v>5</v>
      </c>
      <c r="O55" s="63">
        <f t="shared" si="3"/>
        <v>5</v>
      </c>
      <c r="P55" s="63">
        <v>5</v>
      </c>
      <c r="Q55" s="68">
        <v>88</v>
      </c>
      <c r="R55" s="64">
        <f t="shared" si="4"/>
        <v>3</v>
      </c>
      <c r="S55" s="65">
        <f t="shared" si="5"/>
        <v>18</v>
      </c>
      <c r="T55" s="71">
        <v>40</v>
      </c>
      <c r="U55" s="71">
        <v>44</v>
      </c>
      <c r="V55" s="70">
        <v>75</v>
      </c>
      <c r="W55" s="62">
        <f>SUM(LARGE(T55:V55,{1,2}))</f>
        <v>119</v>
      </c>
      <c r="X55" s="62">
        <f t="shared" si="6"/>
        <v>11.9</v>
      </c>
      <c r="Y55" s="66">
        <f t="shared" si="7"/>
        <v>12</v>
      </c>
      <c r="Z55" s="67">
        <f t="shared" si="8"/>
        <v>30</v>
      </c>
    </row>
    <row r="56" spans="1:26" ht="24.95" customHeight="1">
      <c r="A56" s="30">
        <v>44</v>
      </c>
      <c r="B56" s="30" t="s">
        <v>163</v>
      </c>
      <c r="C56" s="75" t="s">
        <v>164</v>
      </c>
      <c r="D56" s="71">
        <v>4</v>
      </c>
      <c r="E56" s="71">
        <v>4</v>
      </c>
      <c r="F56" s="70">
        <v>4</v>
      </c>
      <c r="G56" s="62">
        <f>SUM(LARGE(D56:F56,{1,2}))</f>
        <v>8</v>
      </c>
      <c r="H56" s="62">
        <f t="shared" si="0"/>
        <v>4</v>
      </c>
      <c r="I56" s="63">
        <f t="shared" si="1"/>
        <v>4</v>
      </c>
      <c r="J56" s="71">
        <v>24</v>
      </c>
      <c r="K56" s="71">
        <v>23</v>
      </c>
      <c r="L56" s="70">
        <v>24</v>
      </c>
      <c r="M56" s="62">
        <f>SUM(LARGE(J56:L56,{1,2}))</f>
        <v>48</v>
      </c>
      <c r="N56" s="62">
        <f t="shared" si="2"/>
        <v>4.8</v>
      </c>
      <c r="O56" s="63">
        <f t="shared" si="3"/>
        <v>5</v>
      </c>
      <c r="P56" s="63">
        <v>5</v>
      </c>
      <c r="Q56" s="68">
        <v>87</v>
      </c>
      <c r="R56" s="64">
        <f t="shared" si="4"/>
        <v>3</v>
      </c>
      <c r="S56" s="65">
        <f t="shared" si="5"/>
        <v>17</v>
      </c>
      <c r="T56" s="71">
        <v>48</v>
      </c>
      <c r="U56" s="71">
        <v>52</v>
      </c>
      <c r="V56" s="70">
        <v>58</v>
      </c>
      <c r="W56" s="62">
        <f>SUM(LARGE(T56:V56,{1,2}))</f>
        <v>110</v>
      </c>
      <c r="X56" s="62">
        <f t="shared" si="6"/>
        <v>11</v>
      </c>
      <c r="Y56" s="66">
        <f t="shared" si="7"/>
        <v>11</v>
      </c>
      <c r="Z56" s="67">
        <f t="shared" si="8"/>
        <v>28</v>
      </c>
    </row>
    <row r="57" spans="1:26" ht="24.95" customHeight="1">
      <c r="A57" s="30">
        <v>45</v>
      </c>
      <c r="B57" s="30" t="s">
        <v>165</v>
      </c>
      <c r="C57" s="75" t="s">
        <v>166</v>
      </c>
      <c r="D57" s="71">
        <v>5</v>
      </c>
      <c r="E57" s="71">
        <v>4</v>
      </c>
      <c r="F57" s="70">
        <v>5</v>
      </c>
      <c r="G57" s="62">
        <f>SUM(LARGE(D57:F57,{1,2}))</f>
        <v>10</v>
      </c>
      <c r="H57" s="62">
        <f t="shared" si="0"/>
        <v>5</v>
      </c>
      <c r="I57" s="63">
        <f t="shared" si="1"/>
        <v>5</v>
      </c>
      <c r="J57" s="71">
        <v>25</v>
      </c>
      <c r="K57" s="71">
        <v>24</v>
      </c>
      <c r="L57" s="70">
        <v>24</v>
      </c>
      <c r="M57" s="62">
        <f>SUM(LARGE(J57:L57,{1,2}))</f>
        <v>49</v>
      </c>
      <c r="N57" s="62">
        <f t="shared" si="2"/>
        <v>4.9000000000000004</v>
      </c>
      <c r="O57" s="63">
        <f t="shared" si="3"/>
        <v>5</v>
      </c>
      <c r="P57" s="63">
        <v>5</v>
      </c>
      <c r="Q57" s="68">
        <v>82</v>
      </c>
      <c r="R57" s="64">
        <f t="shared" si="4"/>
        <v>2</v>
      </c>
      <c r="S57" s="65">
        <f t="shared" si="5"/>
        <v>17</v>
      </c>
      <c r="T57" s="71">
        <v>64</v>
      </c>
      <c r="U57" s="71">
        <v>60</v>
      </c>
      <c r="V57" s="70">
        <v>63</v>
      </c>
      <c r="W57" s="62">
        <f>SUM(LARGE(T57:V57,{1,2}))</f>
        <v>127</v>
      </c>
      <c r="X57" s="62">
        <f t="shared" si="6"/>
        <v>12.7</v>
      </c>
      <c r="Y57" s="66">
        <f t="shared" si="7"/>
        <v>13</v>
      </c>
      <c r="Z57" s="67">
        <f t="shared" si="8"/>
        <v>30</v>
      </c>
    </row>
    <row r="58" spans="1:26" ht="24.95" customHeight="1">
      <c r="A58" s="30">
        <v>46</v>
      </c>
      <c r="B58" s="30" t="s">
        <v>167</v>
      </c>
      <c r="C58" s="75" t="s">
        <v>168</v>
      </c>
      <c r="D58" s="71">
        <v>5</v>
      </c>
      <c r="E58" s="71">
        <v>5</v>
      </c>
      <c r="F58" s="70">
        <v>5</v>
      </c>
      <c r="G58" s="62">
        <f>SUM(LARGE(D58:F58,{1,2}))</f>
        <v>10</v>
      </c>
      <c r="H58" s="62">
        <f t="shared" si="0"/>
        <v>5</v>
      </c>
      <c r="I58" s="63">
        <f t="shared" si="1"/>
        <v>5</v>
      </c>
      <c r="J58" s="71">
        <v>25</v>
      </c>
      <c r="K58" s="71">
        <v>25</v>
      </c>
      <c r="L58" s="70">
        <v>25</v>
      </c>
      <c r="M58" s="62">
        <f>SUM(LARGE(J58:L58,{1,2}))</f>
        <v>50</v>
      </c>
      <c r="N58" s="62">
        <f t="shared" si="2"/>
        <v>5</v>
      </c>
      <c r="O58" s="63">
        <f t="shared" si="3"/>
        <v>5</v>
      </c>
      <c r="P58" s="63">
        <v>5</v>
      </c>
      <c r="Q58" s="68">
        <v>88</v>
      </c>
      <c r="R58" s="64">
        <f t="shared" si="4"/>
        <v>3</v>
      </c>
      <c r="S58" s="65">
        <f t="shared" si="5"/>
        <v>18</v>
      </c>
      <c r="T58" s="71">
        <v>46</v>
      </c>
      <c r="U58" s="71">
        <v>56</v>
      </c>
      <c r="V58" s="70">
        <v>48</v>
      </c>
      <c r="W58" s="62">
        <f>SUM(LARGE(T58:V58,{1,2}))</f>
        <v>104</v>
      </c>
      <c r="X58" s="62">
        <f t="shared" si="6"/>
        <v>10.4</v>
      </c>
      <c r="Y58" s="66">
        <f t="shared" si="7"/>
        <v>11</v>
      </c>
      <c r="Z58" s="67">
        <f t="shared" si="8"/>
        <v>29</v>
      </c>
    </row>
    <row r="59" spans="1:26" ht="24.95" customHeight="1">
      <c r="A59" s="30">
        <v>47</v>
      </c>
      <c r="B59" s="30" t="s">
        <v>169</v>
      </c>
      <c r="C59" s="75" t="s">
        <v>170</v>
      </c>
      <c r="D59" s="71">
        <v>4</v>
      </c>
      <c r="E59" s="71">
        <v>0</v>
      </c>
      <c r="F59" s="70">
        <v>4</v>
      </c>
      <c r="G59" s="62">
        <f>SUM(LARGE(D59:F59,{1,2}))</f>
        <v>8</v>
      </c>
      <c r="H59" s="62">
        <f t="shared" si="0"/>
        <v>4</v>
      </c>
      <c r="I59" s="63">
        <f t="shared" si="1"/>
        <v>4</v>
      </c>
      <c r="J59" s="71">
        <v>24</v>
      </c>
      <c r="K59" s="71">
        <v>23</v>
      </c>
      <c r="L59" s="70">
        <v>23</v>
      </c>
      <c r="M59" s="62">
        <f>SUM(LARGE(J59:L59,{1,2}))</f>
        <v>47</v>
      </c>
      <c r="N59" s="62">
        <f t="shared" si="2"/>
        <v>4.7</v>
      </c>
      <c r="O59" s="63">
        <f t="shared" si="3"/>
        <v>5</v>
      </c>
      <c r="P59" s="63">
        <v>5</v>
      </c>
      <c r="Q59" s="74">
        <v>76</v>
      </c>
      <c r="R59" s="64">
        <f t="shared" si="4"/>
        <v>1</v>
      </c>
      <c r="S59" s="65">
        <f t="shared" si="5"/>
        <v>15</v>
      </c>
      <c r="T59" s="71">
        <v>40</v>
      </c>
      <c r="U59" s="71">
        <v>40</v>
      </c>
      <c r="V59" s="70">
        <v>60</v>
      </c>
      <c r="W59" s="62">
        <f>SUM(LARGE(T59:V59,{1,2}))</f>
        <v>100</v>
      </c>
      <c r="X59" s="62">
        <f t="shared" si="6"/>
        <v>10</v>
      </c>
      <c r="Y59" s="66">
        <f t="shared" si="7"/>
        <v>10</v>
      </c>
      <c r="Z59" s="67">
        <f t="shared" si="8"/>
        <v>25</v>
      </c>
    </row>
    <row r="60" spans="1:26" ht="24.95" customHeight="1">
      <c r="A60" s="30">
        <v>48</v>
      </c>
      <c r="B60" s="30" t="s">
        <v>171</v>
      </c>
      <c r="C60" s="75" t="s">
        <v>172</v>
      </c>
      <c r="D60" s="71">
        <v>4</v>
      </c>
      <c r="E60" s="71">
        <v>0</v>
      </c>
      <c r="F60" s="70">
        <v>4</v>
      </c>
      <c r="G60" s="62">
        <f>SUM(LARGE(D60:F60,{1,2}))</f>
        <v>8</v>
      </c>
      <c r="H60" s="62">
        <f t="shared" si="0"/>
        <v>4</v>
      </c>
      <c r="I60" s="63">
        <f t="shared" si="1"/>
        <v>4</v>
      </c>
      <c r="J60" s="71">
        <v>24</v>
      </c>
      <c r="K60" s="71">
        <v>23</v>
      </c>
      <c r="L60" s="70">
        <v>23</v>
      </c>
      <c r="M60" s="62">
        <f>SUM(LARGE(J60:L60,{1,2}))</f>
        <v>47</v>
      </c>
      <c r="N60" s="62">
        <f t="shared" si="2"/>
        <v>4.7</v>
      </c>
      <c r="O60" s="63">
        <f t="shared" si="3"/>
        <v>5</v>
      </c>
      <c r="P60" s="63">
        <v>5</v>
      </c>
      <c r="Q60" s="68">
        <v>79</v>
      </c>
      <c r="R60" s="64">
        <f t="shared" si="4"/>
        <v>1</v>
      </c>
      <c r="S60" s="65">
        <f t="shared" si="5"/>
        <v>15</v>
      </c>
      <c r="T60" s="71">
        <v>40</v>
      </c>
      <c r="U60" s="71">
        <v>56</v>
      </c>
      <c r="V60" s="70">
        <v>50</v>
      </c>
      <c r="W60" s="62">
        <f>SUM(LARGE(T60:V60,{1,2}))</f>
        <v>106</v>
      </c>
      <c r="X60" s="62">
        <f t="shared" si="6"/>
        <v>10.6</v>
      </c>
      <c r="Y60" s="66">
        <f t="shared" si="7"/>
        <v>11</v>
      </c>
      <c r="Z60" s="67">
        <f t="shared" si="8"/>
        <v>26</v>
      </c>
    </row>
    <row r="61" spans="1:26" ht="24.95" customHeight="1">
      <c r="A61" s="30">
        <v>49</v>
      </c>
      <c r="B61" s="30" t="s">
        <v>173</v>
      </c>
      <c r="C61" s="76" t="s">
        <v>176</v>
      </c>
      <c r="D61" s="71">
        <v>5</v>
      </c>
      <c r="E61" s="71">
        <v>4</v>
      </c>
      <c r="F61" s="70">
        <v>5</v>
      </c>
      <c r="G61" s="62">
        <f>SUM(LARGE(D61:F61,{1,2}))</f>
        <v>10</v>
      </c>
      <c r="H61" s="62">
        <f t="shared" si="0"/>
        <v>5</v>
      </c>
      <c r="I61" s="63">
        <f t="shared" si="1"/>
        <v>5</v>
      </c>
      <c r="J61" s="71">
        <v>25</v>
      </c>
      <c r="K61" s="71">
        <v>24</v>
      </c>
      <c r="L61" s="70">
        <v>24</v>
      </c>
      <c r="M61" s="62">
        <f>SUM(LARGE(J61:L61,{1,2}))</f>
        <v>49</v>
      </c>
      <c r="N61" s="62">
        <f t="shared" si="2"/>
        <v>4.9000000000000004</v>
      </c>
      <c r="O61" s="63">
        <f t="shared" si="3"/>
        <v>5</v>
      </c>
      <c r="P61" s="63">
        <v>5</v>
      </c>
      <c r="Q61" s="68">
        <v>90</v>
      </c>
      <c r="R61" s="64">
        <f t="shared" si="4"/>
        <v>4</v>
      </c>
      <c r="S61" s="65">
        <f t="shared" si="5"/>
        <v>19</v>
      </c>
      <c r="T61" s="77">
        <v>14</v>
      </c>
      <c r="U61" s="71">
        <v>40</v>
      </c>
      <c r="V61" s="70">
        <v>55</v>
      </c>
      <c r="W61" s="62">
        <f>SUM(LARGE(T61:V61,{1,2}))</f>
        <v>95</v>
      </c>
      <c r="X61" s="62">
        <f t="shared" si="6"/>
        <v>9.5</v>
      </c>
      <c r="Y61" s="66">
        <f t="shared" si="7"/>
        <v>10</v>
      </c>
      <c r="Z61" s="67">
        <f t="shared" si="8"/>
        <v>29</v>
      </c>
    </row>
    <row r="62" spans="1:26" ht="24.95" customHeight="1">
      <c r="A62" s="30">
        <v>50</v>
      </c>
      <c r="B62" s="30" t="s">
        <v>174</v>
      </c>
      <c r="C62" s="75" t="s">
        <v>175</v>
      </c>
      <c r="D62" s="71">
        <v>5</v>
      </c>
      <c r="E62" s="71">
        <v>5</v>
      </c>
      <c r="F62" s="70">
        <v>5</v>
      </c>
      <c r="G62" s="62">
        <f>SUM(LARGE(D62:F62,{1,2}))</f>
        <v>10</v>
      </c>
      <c r="H62" s="62">
        <f t="shared" si="0"/>
        <v>5</v>
      </c>
      <c r="I62" s="63">
        <f t="shared" si="1"/>
        <v>5</v>
      </c>
      <c r="J62" s="71">
        <v>25</v>
      </c>
      <c r="K62" s="71">
        <v>25</v>
      </c>
      <c r="L62" s="70">
        <v>25</v>
      </c>
      <c r="M62" s="62">
        <f>SUM(LARGE(J62:L62,{1,2}))</f>
        <v>50</v>
      </c>
      <c r="N62" s="62">
        <f t="shared" si="2"/>
        <v>5</v>
      </c>
      <c r="O62" s="63">
        <f t="shared" si="3"/>
        <v>5</v>
      </c>
      <c r="P62" s="63">
        <v>5</v>
      </c>
      <c r="Q62" s="68">
        <v>82</v>
      </c>
      <c r="R62" s="64">
        <f t="shared" si="4"/>
        <v>2</v>
      </c>
      <c r="S62" s="65">
        <f t="shared" si="5"/>
        <v>17</v>
      </c>
      <c r="T62" s="71">
        <v>40</v>
      </c>
      <c r="U62" s="71">
        <v>60</v>
      </c>
      <c r="V62" s="70">
        <v>75</v>
      </c>
      <c r="W62" s="62">
        <f>SUM(LARGE(T62:V62,{1,2}))</f>
        <v>135</v>
      </c>
      <c r="X62" s="62">
        <f t="shared" si="6"/>
        <v>13.5</v>
      </c>
      <c r="Y62" s="66">
        <f t="shared" si="7"/>
        <v>14</v>
      </c>
      <c r="Z62" s="67">
        <f t="shared" si="8"/>
        <v>31</v>
      </c>
    </row>
    <row r="64" spans="1:26" ht="18.75">
      <c r="Z64" s="36"/>
    </row>
    <row r="66" spans="2:23" ht="15.75">
      <c r="B66" s="9" t="s">
        <v>36</v>
      </c>
      <c r="C66" s="10"/>
      <c r="L66" s="15"/>
      <c r="M66" s="9" t="s">
        <v>37</v>
      </c>
      <c r="N66" s="15"/>
      <c r="O66" s="15"/>
      <c r="Q66" s="16"/>
      <c r="W66" s="9" t="s">
        <v>38</v>
      </c>
    </row>
    <row r="67" spans="2:23" ht="15.75">
      <c r="B67" s="11" t="s">
        <v>39</v>
      </c>
      <c r="C67" s="10"/>
      <c r="L67" s="10"/>
      <c r="M67" s="11" t="s">
        <v>40</v>
      </c>
      <c r="N67" s="10"/>
      <c r="O67" s="10"/>
      <c r="Q67" s="16"/>
      <c r="W67" s="11" t="s">
        <v>41</v>
      </c>
    </row>
  </sheetData>
  <mergeCells count="19">
    <mergeCell ref="T9:Z9"/>
    <mergeCell ref="D11:I11"/>
    <mergeCell ref="J11:P11"/>
    <mergeCell ref="Q11:R11"/>
    <mergeCell ref="T11:Y11"/>
    <mergeCell ref="R9:S9"/>
    <mergeCell ref="A9:B9"/>
    <mergeCell ref="D9:G9"/>
    <mergeCell ref="H9:J9"/>
    <mergeCell ref="K9:L9"/>
    <mergeCell ref="M9:Q9"/>
    <mergeCell ref="A6:Z6"/>
    <mergeCell ref="A8:B8"/>
    <mergeCell ref="D8:G8"/>
    <mergeCell ref="H8:J8"/>
    <mergeCell ref="K8:L8"/>
    <mergeCell ref="M8:Q8"/>
    <mergeCell ref="R8:S8"/>
    <mergeCell ref="T8:Z8"/>
  </mergeCells>
  <conditionalFormatting sqref="Z13:Z62 Z64">
    <cfRule type="cellIs" dxfId="2" priority="1" operator="lessThan">
      <formula>24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Width="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opLeftCell="A50" zoomScale="80" zoomScaleNormal="80" workbookViewId="0">
      <selection activeCell="Z64" sqref="Z64"/>
    </sheetView>
  </sheetViews>
  <sheetFormatPr defaultColWidth="9" defaultRowHeight="15"/>
  <cols>
    <col min="1" max="1" width="6.28515625" customWidth="1"/>
    <col min="2" max="2" width="21.28515625" customWidth="1"/>
    <col min="3" max="3" width="25.5703125" customWidth="1"/>
    <col min="4" max="4" width="6.140625" customWidth="1"/>
    <col min="5" max="5" width="5.85546875" customWidth="1"/>
    <col min="6" max="6" width="6.28515625" customWidth="1"/>
    <col min="7" max="7" width="6.7109375" customWidth="1"/>
    <col min="8" max="8" width="6.28515625" customWidth="1"/>
    <col min="9" max="9" width="8" customWidth="1"/>
    <col min="10" max="11" width="7.140625" customWidth="1"/>
    <col min="12" max="14" width="6.7109375" customWidth="1"/>
    <col min="15" max="16" width="7.5703125" customWidth="1"/>
    <col min="17" max="17" width="8.28515625" customWidth="1"/>
    <col min="18" max="18" width="8.7109375" customWidth="1"/>
    <col min="19" max="19" width="9" customWidth="1"/>
    <col min="20" max="20" width="6.7109375" customWidth="1"/>
    <col min="21" max="21" width="6.5703125" customWidth="1"/>
    <col min="22" max="22" width="6.7109375" customWidth="1"/>
    <col min="23" max="23" width="7.28515625" customWidth="1"/>
    <col min="24" max="24" width="9.7109375" customWidth="1"/>
    <col min="25" max="25" width="7.5703125" customWidth="1"/>
    <col min="26" max="26" width="8.85546875" customWidth="1"/>
  </cols>
  <sheetData>
    <row r="1" spans="1:26">
      <c r="I1" s="13"/>
      <c r="R1" s="16"/>
    </row>
    <row r="2" spans="1:26">
      <c r="I2" s="13"/>
      <c r="R2" s="16"/>
    </row>
    <row r="3" spans="1:26">
      <c r="I3" s="13"/>
      <c r="R3" s="16"/>
    </row>
    <row r="4" spans="1:26">
      <c r="I4" s="13"/>
      <c r="R4" s="16"/>
    </row>
    <row r="5" spans="1:26">
      <c r="I5" s="13"/>
      <c r="R5" s="16"/>
    </row>
    <row r="6" spans="1:26" ht="15.75">
      <c r="A6" s="84" t="s">
        <v>0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6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87" t="s">
        <v>1</v>
      </c>
      <c r="B8" s="88"/>
      <c r="C8" s="29" t="s">
        <v>55</v>
      </c>
      <c r="D8" s="87" t="s">
        <v>2</v>
      </c>
      <c r="E8" s="88"/>
      <c r="F8" s="88"/>
      <c r="G8" s="88"/>
      <c r="H8" s="89" t="s">
        <v>73</v>
      </c>
      <c r="I8" s="89"/>
      <c r="J8" s="90"/>
      <c r="K8" s="87" t="s">
        <v>3</v>
      </c>
      <c r="L8" s="88"/>
      <c r="M8" s="89" t="s">
        <v>4</v>
      </c>
      <c r="N8" s="89"/>
      <c r="O8" s="89"/>
      <c r="P8" s="89"/>
      <c r="Q8" s="90"/>
      <c r="R8" s="91" t="s">
        <v>5</v>
      </c>
      <c r="S8" s="91"/>
      <c r="T8" s="92" t="s">
        <v>195</v>
      </c>
      <c r="U8" s="91"/>
      <c r="V8" s="91"/>
      <c r="W8" s="91"/>
      <c r="X8" s="91"/>
      <c r="Y8" s="91"/>
      <c r="Z8" s="93"/>
    </row>
    <row r="9" spans="1:26" ht="15.75">
      <c r="A9" s="94" t="s">
        <v>6</v>
      </c>
      <c r="B9" s="95"/>
      <c r="C9" s="29" t="s">
        <v>72</v>
      </c>
      <c r="D9" s="87" t="s">
        <v>7</v>
      </c>
      <c r="E9" s="88"/>
      <c r="F9" s="88"/>
      <c r="G9" s="88"/>
      <c r="H9" s="89" t="s">
        <v>74</v>
      </c>
      <c r="I9" s="89"/>
      <c r="J9" s="90"/>
      <c r="K9" s="95" t="s">
        <v>8</v>
      </c>
      <c r="L9" s="95"/>
      <c r="M9" s="96" t="s">
        <v>75</v>
      </c>
      <c r="N9" s="96"/>
      <c r="O9" s="96"/>
      <c r="P9" s="96"/>
      <c r="Q9" s="96"/>
      <c r="R9" s="87" t="s">
        <v>9</v>
      </c>
      <c r="S9" s="88"/>
      <c r="T9" s="97" t="s">
        <v>194</v>
      </c>
      <c r="U9" s="88"/>
      <c r="V9" s="88"/>
      <c r="W9" s="88"/>
      <c r="X9" s="88"/>
      <c r="Y9" s="88"/>
      <c r="Z9" s="98"/>
    </row>
    <row r="10" spans="1:26">
      <c r="A10" s="2"/>
      <c r="B10" s="2"/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3"/>
      <c r="W10" s="2"/>
      <c r="X10" s="2"/>
      <c r="Y10" s="2"/>
      <c r="Z10" s="2"/>
    </row>
    <row r="11" spans="1:26" ht="15.75">
      <c r="A11" s="37"/>
      <c r="B11" s="37"/>
      <c r="C11" s="37"/>
      <c r="D11" s="99" t="s">
        <v>10</v>
      </c>
      <c r="E11" s="100"/>
      <c r="F11" s="100"/>
      <c r="G11" s="100"/>
      <c r="H11" s="100"/>
      <c r="I11" s="101"/>
      <c r="J11" s="102" t="s">
        <v>11</v>
      </c>
      <c r="K11" s="100"/>
      <c r="L11" s="100"/>
      <c r="M11" s="100"/>
      <c r="N11" s="100"/>
      <c r="O11" s="100"/>
      <c r="P11" s="101"/>
      <c r="Q11" s="102" t="s">
        <v>12</v>
      </c>
      <c r="R11" s="101"/>
      <c r="S11" s="37"/>
      <c r="T11" s="102" t="s">
        <v>13</v>
      </c>
      <c r="U11" s="100"/>
      <c r="V11" s="100"/>
      <c r="W11" s="100"/>
      <c r="X11" s="100"/>
      <c r="Y11" s="101"/>
      <c r="Z11" s="38"/>
    </row>
    <row r="12" spans="1:26" ht="82.5" customHeight="1">
      <c r="A12" s="39" t="s">
        <v>14</v>
      </c>
      <c r="B12" s="40" t="s">
        <v>15</v>
      </c>
      <c r="C12" s="40" t="s">
        <v>16</v>
      </c>
      <c r="D12" s="41" t="s">
        <v>17</v>
      </c>
      <c r="E12" s="41" t="s">
        <v>18</v>
      </c>
      <c r="F12" s="41" t="s">
        <v>19</v>
      </c>
      <c r="G12" s="41" t="s">
        <v>20</v>
      </c>
      <c r="H12" s="41" t="s">
        <v>21</v>
      </c>
      <c r="I12" s="42" t="s">
        <v>22</v>
      </c>
      <c r="J12" s="41" t="s">
        <v>23</v>
      </c>
      <c r="K12" s="41" t="s">
        <v>24</v>
      </c>
      <c r="L12" s="56" t="s">
        <v>25</v>
      </c>
      <c r="M12" s="41" t="s">
        <v>26</v>
      </c>
      <c r="N12" s="41" t="s">
        <v>21</v>
      </c>
      <c r="O12" s="43" t="s">
        <v>27</v>
      </c>
      <c r="P12" s="42" t="s">
        <v>28</v>
      </c>
      <c r="Q12" s="44" t="s">
        <v>29</v>
      </c>
      <c r="R12" s="43" t="s">
        <v>30</v>
      </c>
      <c r="S12" s="45" t="s">
        <v>31</v>
      </c>
      <c r="T12" s="54" t="s">
        <v>179</v>
      </c>
      <c r="U12" s="44" t="s">
        <v>180</v>
      </c>
      <c r="V12" s="44" t="s">
        <v>181</v>
      </c>
      <c r="W12" s="44" t="s">
        <v>32</v>
      </c>
      <c r="X12" s="44" t="s">
        <v>33</v>
      </c>
      <c r="Y12" s="45" t="s">
        <v>34</v>
      </c>
      <c r="Z12" s="46" t="s">
        <v>35</v>
      </c>
    </row>
    <row r="13" spans="1:26" ht="24.95" customHeight="1">
      <c r="A13" s="30">
        <v>1</v>
      </c>
      <c r="B13" s="30" t="s">
        <v>77</v>
      </c>
      <c r="C13" s="31" t="s">
        <v>78</v>
      </c>
      <c r="D13" s="71">
        <v>5</v>
      </c>
      <c r="E13" s="71">
        <v>5</v>
      </c>
      <c r="F13" s="71">
        <v>5</v>
      </c>
      <c r="G13" s="62">
        <f>SUM(LARGE(D13:F13,{1,2}))</f>
        <v>10</v>
      </c>
      <c r="H13" s="62">
        <f>G13/2</f>
        <v>5</v>
      </c>
      <c r="I13" s="63">
        <f>ROUNDUP(H13,0)</f>
        <v>5</v>
      </c>
      <c r="J13" s="71">
        <v>25</v>
      </c>
      <c r="K13" s="78">
        <v>25</v>
      </c>
      <c r="L13" s="70">
        <v>25</v>
      </c>
      <c r="M13" s="79">
        <f>SUM(LARGE(J13:L13,{1,2}))</f>
        <v>50</v>
      </c>
      <c r="N13" s="62">
        <f>ROUNDUP(M13/50*5,1)</f>
        <v>5</v>
      </c>
      <c r="O13" s="63">
        <f>ROUNDUP(N13,0)</f>
        <v>5</v>
      </c>
      <c r="P13" s="63">
        <v>5</v>
      </c>
      <c r="Q13" s="68" t="s">
        <v>178</v>
      </c>
      <c r="R13" s="64">
        <f>IF(Q13&gt;=95,5,IF(Q13&gt;=90,4,IF(Q13&gt;=85,3, IF(Q13&gt;=80,2,IF(Q13&gt;=75,1,0)))))</f>
        <v>5</v>
      </c>
      <c r="S13" s="65">
        <f>I13+O13+P13+R13</f>
        <v>20</v>
      </c>
      <c r="T13" s="71">
        <v>40</v>
      </c>
      <c r="U13" s="71">
        <v>40</v>
      </c>
      <c r="V13" s="71">
        <v>50</v>
      </c>
      <c r="W13" s="62">
        <f>SUM(LARGE(T13:V13,{1,2}))</f>
        <v>90</v>
      </c>
      <c r="X13" s="62">
        <f>W13/10</f>
        <v>9</v>
      </c>
      <c r="Y13" s="66">
        <f>ROUNDUP(X13,0)</f>
        <v>9</v>
      </c>
      <c r="Z13" s="67">
        <f>S13+Y13</f>
        <v>29</v>
      </c>
    </row>
    <row r="14" spans="1:26" ht="24.95" customHeight="1">
      <c r="A14" s="30">
        <v>2</v>
      </c>
      <c r="B14" s="30" t="s">
        <v>79</v>
      </c>
      <c r="C14" s="31" t="s">
        <v>80</v>
      </c>
      <c r="D14" s="71">
        <v>5</v>
      </c>
      <c r="E14" s="71">
        <v>5</v>
      </c>
      <c r="F14" s="71">
        <v>5</v>
      </c>
      <c r="G14" s="62">
        <f>SUM(LARGE(D14:F14,{1,2}))</f>
        <v>10</v>
      </c>
      <c r="H14" s="62">
        <f t="shared" ref="H14:H62" si="0">G14/2</f>
        <v>5</v>
      </c>
      <c r="I14" s="63">
        <f t="shared" ref="I14:I62" si="1">ROUNDUP(H14,0)</f>
        <v>5</v>
      </c>
      <c r="J14" s="71">
        <v>25</v>
      </c>
      <c r="K14" s="78">
        <v>25</v>
      </c>
      <c r="L14" s="70">
        <v>25</v>
      </c>
      <c r="M14" s="79">
        <f>SUM(LARGE(J14:L14,{1,2}))</f>
        <v>50</v>
      </c>
      <c r="N14" s="62">
        <f t="shared" ref="N14:N62" si="2">ROUNDUP(M14/50*5,1)</f>
        <v>5</v>
      </c>
      <c r="O14" s="63">
        <f t="shared" ref="O14:O62" si="3">ROUNDUP(N14,0)</f>
        <v>5</v>
      </c>
      <c r="P14" s="63">
        <v>5</v>
      </c>
      <c r="Q14" s="68">
        <v>87</v>
      </c>
      <c r="R14" s="64">
        <f t="shared" ref="R14:R62" si="4">IF(Q14&gt;=95,5,IF(Q14&gt;=90,4,IF(Q14&gt;=85,3, IF(Q14&gt;=80,2,IF(Q14&gt;=75,1,0)))))</f>
        <v>3</v>
      </c>
      <c r="S14" s="65">
        <f t="shared" ref="S14:S62" si="5">I14+O14+P14+R14</f>
        <v>18</v>
      </c>
      <c r="T14" s="71">
        <v>90</v>
      </c>
      <c r="U14" s="71">
        <v>88</v>
      </c>
      <c r="V14" s="71" t="s">
        <v>177</v>
      </c>
      <c r="W14" s="62">
        <f>SUM(LARGE(T14:V14,{1,2}))</f>
        <v>178</v>
      </c>
      <c r="X14" s="62">
        <f t="shared" ref="X14:X62" si="6">W14/10</f>
        <v>17.8</v>
      </c>
      <c r="Y14" s="66">
        <f t="shared" ref="Y14:Y62" si="7">ROUNDUP(X14,0)</f>
        <v>18</v>
      </c>
      <c r="Z14" s="67">
        <f t="shared" ref="Z14:Z62" si="8">S14+Y14</f>
        <v>36</v>
      </c>
    </row>
    <row r="15" spans="1:26" ht="24.95" customHeight="1">
      <c r="A15" s="30">
        <v>3</v>
      </c>
      <c r="B15" s="30" t="s">
        <v>81</v>
      </c>
      <c r="C15" s="31" t="s">
        <v>82</v>
      </c>
      <c r="D15" s="71">
        <v>5</v>
      </c>
      <c r="E15" s="71">
        <v>5</v>
      </c>
      <c r="F15" s="71">
        <v>5</v>
      </c>
      <c r="G15" s="62">
        <f>SUM(LARGE(D15:F15,{1,2}))</f>
        <v>10</v>
      </c>
      <c r="H15" s="62">
        <f t="shared" si="0"/>
        <v>5</v>
      </c>
      <c r="I15" s="63">
        <f t="shared" si="1"/>
        <v>5</v>
      </c>
      <c r="J15" s="71">
        <v>25</v>
      </c>
      <c r="K15" s="78">
        <v>25</v>
      </c>
      <c r="L15" s="70">
        <v>25</v>
      </c>
      <c r="M15" s="79">
        <f>SUM(LARGE(J15:L15,{1,2}))</f>
        <v>50</v>
      </c>
      <c r="N15" s="62">
        <f t="shared" si="2"/>
        <v>5</v>
      </c>
      <c r="O15" s="63">
        <f t="shared" si="3"/>
        <v>5</v>
      </c>
      <c r="P15" s="63">
        <v>5</v>
      </c>
      <c r="Q15" s="68">
        <v>93</v>
      </c>
      <c r="R15" s="64">
        <f t="shared" si="4"/>
        <v>4</v>
      </c>
      <c r="S15" s="65">
        <f t="shared" si="5"/>
        <v>19</v>
      </c>
      <c r="T15" s="71">
        <v>16</v>
      </c>
      <c r="U15" s="71">
        <v>40</v>
      </c>
      <c r="V15" s="71">
        <v>45</v>
      </c>
      <c r="W15" s="62">
        <f>SUM(LARGE(T15:V15,{1,2}))</f>
        <v>85</v>
      </c>
      <c r="X15" s="62">
        <f t="shared" si="6"/>
        <v>8.5</v>
      </c>
      <c r="Y15" s="66">
        <f t="shared" si="7"/>
        <v>9</v>
      </c>
      <c r="Z15" s="67">
        <f t="shared" si="8"/>
        <v>28</v>
      </c>
    </row>
    <row r="16" spans="1:26" ht="24.95" customHeight="1">
      <c r="A16" s="30">
        <v>4</v>
      </c>
      <c r="B16" s="30" t="s">
        <v>83</v>
      </c>
      <c r="C16" s="31" t="s">
        <v>84</v>
      </c>
      <c r="D16" s="71">
        <v>5</v>
      </c>
      <c r="E16" s="71">
        <v>5</v>
      </c>
      <c r="F16" s="71">
        <v>5</v>
      </c>
      <c r="G16" s="62">
        <f>SUM(LARGE(D16:F16,{1,2}))</f>
        <v>10</v>
      </c>
      <c r="H16" s="62">
        <f t="shared" si="0"/>
        <v>5</v>
      </c>
      <c r="I16" s="63">
        <f t="shared" si="1"/>
        <v>5</v>
      </c>
      <c r="J16" s="71">
        <v>25</v>
      </c>
      <c r="K16" s="78">
        <v>25</v>
      </c>
      <c r="L16" s="70">
        <v>25</v>
      </c>
      <c r="M16" s="79">
        <f>SUM(LARGE(J16:L16,{1,2}))</f>
        <v>50</v>
      </c>
      <c r="N16" s="62">
        <f t="shared" si="2"/>
        <v>5</v>
      </c>
      <c r="O16" s="63">
        <f t="shared" si="3"/>
        <v>5</v>
      </c>
      <c r="P16" s="63">
        <v>5</v>
      </c>
      <c r="Q16" s="68">
        <v>89</v>
      </c>
      <c r="R16" s="64">
        <f t="shared" si="4"/>
        <v>3</v>
      </c>
      <c r="S16" s="65">
        <f t="shared" si="5"/>
        <v>18</v>
      </c>
      <c r="T16" s="71">
        <v>40</v>
      </c>
      <c r="U16" s="71">
        <v>60</v>
      </c>
      <c r="V16" s="71">
        <v>63</v>
      </c>
      <c r="W16" s="62">
        <f>SUM(LARGE(T16:V16,{1,2}))</f>
        <v>123</v>
      </c>
      <c r="X16" s="62">
        <f t="shared" si="6"/>
        <v>12.3</v>
      </c>
      <c r="Y16" s="66">
        <f t="shared" si="7"/>
        <v>13</v>
      </c>
      <c r="Z16" s="67">
        <f t="shared" si="8"/>
        <v>31</v>
      </c>
    </row>
    <row r="17" spans="1:26" ht="24.95" customHeight="1">
      <c r="A17" s="30">
        <v>5</v>
      </c>
      <c r="B17" s="30" t="s">
        <v>85</v>
      </c>
      <c r="C17" s="31" t="s">
        <v>86</v>
      </c>
      <c r="D17" s="71">
        <v>5</v>
      </c>
      <c r="E17" s="71">
        <v>5</v>
      </c>
      <c r="F17" s="71">
        <v>5</v>
      </c>
      <c r="G17" s="62">
        <f>SUM(LARGE(D17:F17,{1,2}))</f>
        <v>10</v>
      </c>
      <c r="H17" s="62">
        <f t="shared" si="0"/>
        <v>5</v>
      </c>
      <c r="I17" s="63">
        <f t="shared" si="1"/>
        <v>5</v>
      </c>
      <c r="J17" s="71">
        <v>25</v>
      </c>
      <c r="K17" s="78">
        <v>25</v>
      </c>
      <c r="L17" s="70">
        <v>25</v>
      </c>
      <c r="M17" s="79">
        <f>SUM(LARGE(J17:L17,{1,2}))</f>
        <v>50</v>
      </c>
      <c r="N17" s="62">
        <f t="shared" si="2"/>
        <v>5</v>
      </c>
      <c r="O17" s="63">
        <f t="shared" si="3"/>
        <v>5</v>
      </c>
      <c r="P17" s="63">
        <v>5</v>
      </c>
      <c r="Q17" s="68">
        <v>83</v>
      </c>
      <c r="R17" s="64">
        <f t="shared" si="4"/>
        <v>2</v>
      </c>
      <c r="S17" s="65">
        <f t="shared" si="5"/>
        <v>17</v>
      </c>
      <c r="T17" s="71">
        <v>46</v>
      </c>
      <c r="U17" s="71">
        <v>68</v>
      </c>
      <c r="V17" s="71">
        <v>63</v>
      </c>
      <c r="W17" s="62">
        <f>SUM(LARGE(T17:V17,{1,2}))</f>
        <v>131</v>
      </c>
      <c r="X17" s="62">
        <f t="shared" si="6"/>
        <v>13.1</v>
      </c>
      <c r="Y17" s="66">
        <f t="shared" si="7"/>
        <v>14</v>
      </c>
      <c r="Z17" s="67">
        <f t="shared" si="8"/>
        <v>31</v>
      </c>
    </row>
    <row r="18" spans="1:26" ht="24.95" customHeight="1">
      <c r="A18" s="30">
        <v>6</v>
      </c>
      <c r="B18" s="30" t="s">
        <v>87</v>
      </c>
      <c r="C18" s="31" t="s">
        <v>88</v>
      </c>
      <c r="D18" s="71">
        <v>5</v>
      </c>
      <c r="E18" s="71">
        <v>5</v>
      </c>
      <c r="F18" s="71">
        <v>5</v>
      </c>
      <c r="G18" s="62">
        <f>SUM(LARGE(D18:F18,{1,2}))</f>
        <v>10</v>
      </c>
      <c r="H18" s="62">
        <f t="shared" si="0"/>
        <v>5</v>
      </c>
      <c r="I18" s="63">
        <f t="shared" si="1"/>
        <v>5</v>
      </c>
      <c r="J18" s="71">
        <v>25</v>
      </c>
      <c r="K18" s="78">
        <v>25</v>
      </c>
      <c r="L18" s="70">
        <v>25</v>
      </c>
      <c r="M18" s="79">
        <f>SUM(LARGE(J18:L18,{1,2}))</f>
        <v>50</v>
      </c>
      <c r="N18" s="62">
        <f t="shared" si="2"/>
        <v>5</v>
      </c>
      <c r="O18" s="63">
        <f t="shared" si="3"/>
        <v>5</v>
      </c>
      <c r="P18" s="63">
        <v>5</v>
      </c>
      <c r="Q18" s="68">
        <v>91</v>
      </c>
      <c r="R18" s="64">
        <f t="shared" si="4"/>
        <v>4</v>
      </c>
      <c r="S18" s="65">
        <f t="shared" si="5"/>
        <v>19</v>
      </c>
      <c r="T18" s="71">
        <v>74</v>
      </c>
      <c r="U18" s="71">
        <v>62</v>
      </c>
      <c r="V18" s="71">
        <v>40</v>
      </c>
      <c r="W18" s="62">
        <f>SUM(LARGE(T18:V18,{1,2}))</f>
        <v>136</v>
      </c>
      <c r="X18" s="62">
        <f t="shared" si="6"/>
        <v>13.6</v>
      </c>
      <c r="Y18" s="66">
        <f t="shared" si="7"/>
        <v>14</v>
      </c>
      <c r="Z18" s="67">
        <f t="shared" si="8"/>
        <v>33</v>
      </c>
    </row>
    <row r="19" spans="1:26" ht="24.95" customHeight="1">
      <c r="A19" s="30">
        <v>7</v>
      </c>
      <c r="B19" s="30" t="s">
        <v>89</v>
      </c>
      <c r="C19" s="31" t="s">
        <v>90</v>
      </c>
      <c r="D19" s="71">
        <v>5</v>
      </c>
      <c r="E19" s="71">
        <v>5</v>
      </c>
      <c r="F19" s="71">
        <v>5</v>
      </c>
      <c r="G19" s="62">
        <f>SUM(LARGE(D19:F19,{1,2}))</f>
        <v>10</v>
      </c>
      <c r="H19" s="62">
        <f t="shared" si="0"/>
        <v>5</v>
      </c>
      <c r="I19" s="63">
        <f t="shared" si="1"/>
        <v>5</v>
      </c>
      <c r="J19" s="71">
        <v>25</v>
      </c>
      <c r="K19" s="78">
        <v>25</v>
      </c>
      <c r="L19" s="70">
        <v>25</v>
      </c>
      <c r="M19" s="79">
        <f>SUM(LARGE(J19:L19,{1,2}))</f>
        <v>50</v>
      </c>
      <c r="N19" s="62">
        <f t="shared" si="2"/>
        <v>5</v>
      </c>
      <c r="O19" s="63">
        <f t="shared" si="3"/>
        <v>5</v>
      </c>
      <c r="P19" s="63">
        <v>5</v>
      </c>
      <c r="Q19" s="68">
        <v>92</v>
      </c>
      <c r="R19" s="64">
        <f t="shared" si="4"/>
        <v>4</v>
      </c>
      <c r="S19" s="65">
        <f t="shared" si="5"/>
        <v>19</v>
      </c>
      <c r="T19" s="71">
        <v>72</v>
      </c>
      <c r="U19" s="71">
        <v>92</v>
      </c>
      <c r="V19" s="71">
        <v>83</v>
      </c>
      <c r="W19" s="62">
        <f>SUM(LARGE(T19:V19,{1,2}))</f>
        <v>175</v>
      </c>
      <c r="X19" s="62">
        <f t="shared" si="6"/>
        <v>17.5</v>
      </c>
      <c r="Y19" s="66">
        <f t="shared" si="7"/>
        <v>18</v>
      </c>
      <c r="Z19" s="67">
        <f t="shared" si="8"/>
        <v>37</v>
      </c>
    </row>
    <row r="20" spans="1:26" ht="24.95" customHeight="1">
      <c r="A20" s="30">
        <v>8</v>
      </c>
      <c r="B20" s="30" t="s">
        <v>91</v>
      </c>
      <c r="C20" s="31" t="s">
        <v>92</v>
      </c>
      <c r="D20" s="71">
        <v>5</v>
      </c>
      <c r="E20" s="71">
        <v>5</v>
      </c>
      <c r="F20" s="71">
        <v>5</v>
      </c>
      <c r="G20" s="62">
        <f>SUM(LARGE(D20:F20,{1,2}))</f>
        <v>10</v>
      </c>
      <c r="H20" s="62">
        <f t="shared" si="0"/>
        <v>5</v>
      </c>
      <c r="I20" s="63">
        <f t="shared" si="1"/>
        <v>5</v>
      </c>
      <c r="J20" s="71">
        <v>25</v>
      </c>
      <c r="K20" s="78">
        <v>25</v>
      </c>
      <c r="L20" s="70">
        <v>25</v>
      </c>
      <c r="M20" s="79">
        <f>SUM(LARGE(J20:L20,{1,2}))</f>
        <v>50</v>
      </c>
      <c r="N20" s="62">
        <f t="shared" si="2"/>
        <v>5</v>
      </c>
      <c r="O20" s="63">
        <f t="shared" si="3"/>
        <v>5</v>
      </c>
      <c r="P20" s="63">
        <v>5</v>
      </c>
      <c r="Q20" s="68">
        <v>91</v>
      </c>
      <c r="R20" s="64">
        <f t="shared" si="4"/>
        <v>4</v>
      </c>
      <c r="S20" s="65">
        <f t="shared" si="5"/>
        <v>19</v>
      </c>
      <c r="T20" s="71">
        <v>86</v>
      </c>
      <c r="U20" s="71">
        <v>88</v>
      </c>
      <c r="V20" s="71">
        <v>93</v>
      </c>
      <c r="W20" s="62">
        <f>SUM(LARGE(T20:V20,{1,2}))</f>
        <v>181</v>
      </c>
      <c r="X20" s="62">
        <f t="shared" si="6"/>
        <v>18.100000000000001</v>
      </c>
      <c r="Y20" s="66">
        <f t="shared" si="7"/>
        <v>19</v>
      </c>
      <c r="Z20" s="67">
        <f t="shared" si="8"/>
        <v>38</v>
      </c>
    </row>
    <row r="21" spans="1:26" ht="24.95" customHeight="1">
      <c r="A21" s="30">
        <v>9</v>
      </c>
      <c r="B21" s="30" t="s">
        <v>93</v>
      </c>
      <c r="C21" s="31" t="s">
        <v>94</v>
      </c>
      <c r="D21" s="71">
        <v>5</v>
      </c>
      <c r="E21" s="71">
        <v>5</v>
      </c>
      <c r="F21" s="71">
        <v>5</v>
      </c>
      <c r="G21" s="62">
        <f>SUM(LARGE(D21:F21,{1,2}))</f>
        <v>10</v>
      </c>
      <c r="H21" s="62">
        <f t="shared" si="0"/>
        <v>5</v>
      </c>
      <c r="I21" s="63">
        <f t="shared" si="1"/>
        <v>5</v>
      </c>
      <c r="J21" s="71">
        <v>25</v>
      </c>
      <c r="K21" s="78">
        <v>25</v>
      </c>
      <c r="L21" s="70">
        <v>25</v>
      </c>
      <c r="M21" s="79">
        <f>SUM(LARGE(J21:L21,{1,2}))</f>
        <v>50</v>
      </c>
      <c r="N21" s="62">
        <f t="shared" si="2"/>
        <v>5</v>
      </c>
      <c r="O21" s="63">
        <f t="shared" si="3"/>
        <v>5</v>
      </c>
      <c r="P21" s="63">
        <v>5</v>
      </c>
      <c r="Q21" s="68">
        <v>98</v>
      </c>
      <c r="R21" s="64">
        <f t="shared" si="4"/>
        <v>5</v>
      </c>
      <c r="S21" s="65">
        <f t="shared" si="5"/>
        <v>20</v>
      </c>
      <c r="T21" s="71">
        <v>28.000000000000004</v>
      </c>
      <c r="U21" s="71">
        <v>40</v>
      </c>
      <c r="V21" s="71">
        <v>48</v>
      </c>
      <c r="W21" s="62">
        <f>SUM(LARGE(T21:V21,{1,2}))</f>
        <v>88</v>
      </c>
      <c r="X21" s="62">
        <f t="shared" si="6"/>
        <v>8.8000000000000007</v>
      </c>
      <c r="Y21" s="66">
        <f t="shared" si="7"/>
        <v>9</v>
      </c>
      <c r="Z21" s="67">
        <f t="shared" si="8"/>
        <v>29</v>
      </c>
    </row>
    <row r="22" spans="1:26" ht="24.95" customHeight="1">
      <c r="A22" s="30">
        <v>10</v>
      </c>
      <c r="B22" s="30" t="s">
        <v>95</v>
      </c>
      <c r="C22" s="31" t="s">
        <v>96</v>
      </c>
      <c r="D22" s="71">
        <v>5</v>
      </c>
      <c r="E22" s="71">
        <v>5</v>
      </c>
      <c r="F22" s="71">
        <v>5</v>
      </c>
      <c r="G22" s="62">
        <f>SUM(LARGE(D22:F22,{1,2}))</f>
        <v>10</v>
      </c>
      <c r="H22" s="62">
        <f t="shared" si="0"/>
        <v>5</v>
      </c>
      <c r="I22" s="63">
        <f t="shared" si="1"/>
        <v>5</v>
      </c>
      <c r="J22" s="71">
        <v>25</v>
      </c>
      <c r="K22" s="78">
        <v>25</v>
      </c>
      <c r="L22" s="70">
        <v>25</v>
      </c>
      <c r="M22" s="79">
        <f>SUM(LARGE(J22:L22,{1,2}))</f>
        <v>50</v>
      </c>
      <c r="N22" s="62">
        <f t="shared" si="2"/>
        <v>5</v>
      </c>
      <c r="O22" s="63">
        <f t="shared" si="3"/>
        <v>5</v>
      </c>
      <c r="P22" s="63">
        <v>5</v>
      </c>
      <c r="Q22" s="68">
        <v>88</v>
      </c>
      <c r="R22" s="64">
        <f t="shared" si="4"/>
        <v>3</v>
      </c>
      <c r="S22" s="65">
        <f t="shared" si="5"/>
        <v>18</v>
      </c>
      <c r="T22" s="71">
        <v>44</v>
      </c>
      <c r="U22" s="71">
        <v>20</v>
      </c>
      <c r="V22" s="71">
        <v>63</v>
      </c>
      <c r="W22" s="62">
        <f>SUM(LARGE(T22:V22,{1,2}))</f>
        <v>107</v>
      </c>
      <c r="X22" s="62">
        <f t="shared" si="6"/>
        <v>10.7</v>
      </c>
      <c r="Y22" s="66">
        <f t="shared" si="7"/>
        <v>11</v>
      </c>
      <c r="Z22" s="67">
        <f t="shared" si="8"/>
        <v>29</v>
      </c>
    </row>
    <row r="23" spans="1:26" ht="24.95" customHeight="1">
      <c r="A23" s="30">
        <v>11</v>
      </c>
      <c r="B23" s="30" t="s">
        <v>97</v>
      </c>
      <c r="C23" s="31" t="s">
        <v>98</v>
      </c>
      <c r="D23" s="71">
        <v>5</v>
      </c>
      <c r="E23" s="71">
        <v>5</v>
      </c>
      <c r="F23" s="71">
        <v>5</v>
      </c>
      <c r="G23" s="62">
        <f>SUM(LARGE(D23:F23,{1,2}))</f>
        <v>10</v>
      </c>
      <c r="H23" s="62">
        <f t="shared" si="0"/>
        <v>5</v>
      </c>
      <c r="I23" s="63">
        <f t="shared" si="1"/>
        <v>5</v>
      </c>
      <c r="J23" s="71">
        <v>25</v>
      </c>
      <c r="K23" s="78">
        <v>25</v>
      </c>
      <c r="L23" s="70">
        <v>25</v>
      </c>
      <c r="M23" s="79">
        <f>SUM(LARGE(J23:L23,{1,2}))</f>
        <v>50</v>
      </c>
      <c r="N23" s="62">
        <f t="shared" si="2"/>
        <v>5</v>
      </c>
      <c r="O23" s="63">
        <f t="shared" si="3"/>
        <v>5</v>
      </c>
      <c r="P23" s="63">
        <v>5</v>
      </c>
      <c r="Q23" s="68">
        <v>82</v>
      </c>
      <c r="R23" s="64">
        <f t="shared" si="4"/>
        <v>2</v>
      </c>
      <c r="S23" s="65">
        <f t="shared" si="5"/>
        <v>17</v>
      </c>
      <c r="T23" s="71">
        <v>60</v>
      </c>
      <c r="U23" s="71">
        <v>60</v>
      </c>
      <c r="V23" s="71">
        <v>40</v>
      </c>
      <c r="W23" s="62">
        <f>SUM(LARGE(T23:V23,{1,2}))</f>
        <v>120</v>
      </c>
      <c r="X23" s="62">
        <f t="shared" si="6"/>
        <v>12</v>
      </c>
      <c r="Y23" s="66">
        <f t="shared" si="7"/>
        <v>12</v>
      </c>
      <c r="Z23" s="67">
        <f t="shared" si="8"/>
        <v>29</v>
      </c>
    </row>
    <row r="24" spans="1:26" ht="24.95" customHeight="1">
      <c r="A24" s="30">
        <v>12</v>
      </c>
      <c r="B24" s="30" t="s">
        <v>99</v>
      </c>
      <c r="C24" s="31" t="s">
        <v>100</v>
      </c>
      <c r="D24" s="71">
        <v>5</v>
      </c>
      <c r="E24" s="71">
        <v>5</v>
      </c>
      <c r="F24" s="71">
        <v>5</v>
      </c>
      <c r="G24" s="62">
        <f>SUM(LARGE(D24:F24,{1,2}))</f>
        <v>10</v>
      </c>
      <c r="H24" s="62">
        <f t="shared" si="0"/>
        <v>5</v>
      </c>
      <c r="I24" s="63">
        <f t="shared" si="1"/>
        <v>5</v>
      </c>
      <c r="J24" s="71">
        <v>25</v>
      </c>
      <c r="K24" s="78">
        <v>25</v>
      </c>
      <c r="L24" s="70">
        <v>25</v>
      </c>
      <c r="M24" s="79">
        <f>SUM(LARGE(J24:L24,{1,2}))</f>
        <v>50</v>
      </c>
      <c r="N24" s="62">
        <f t="shared" si="2"/>
        <v>5</v>
      </c>
      <c r="O24" s="63">
        <f t="shared" si="3"/>
        <v>5</v>
      </c>
      <c r="P24" s="63">
        <v>5</v>
      </c>
      <c r="Q24" s="68">
        <v>86</v>
      </c>
      <c r="R24" s="64">
        <f t="shared" si="4"/>
        <v>3</v>
      </c>
      <c r="S24" s="65">
        <f t="shared" si="5"/>
        <v>18</v>
      </c>
      <c r="T24" s="71">
        <v>26</v>
      </c>
      <c r="U24" s="71">
        <v>72</v>
      </c>
      <c r="V24" s="71">
        <v>40</v>
      </c>
      <c r="W24" s="62">
        <f>SUM(LARGE(T24:V24,{1,2}))</f>
        <v>112</v>
      </c>
      <c r="X24" s="62">
        <f t="shared" si="6"/>
        <v>11.2</v>
      </c>
      <c r="Y24" s="66">
        <f t="shared" si="7"/>
        <v>12</v>
      </c>
      <c r="Z24" s="67">
        <f t="shared" si="8"/>
        <v>30</v>
      </c>
    </row>
    <row r="25" spans="1:26" ht="24.95" customHeight="1">
      <c r="A25" s="30">
        <v>13</v>
      </c>
      <c r="B25" s="30" t="s">
        <v>101</v>
      </c>
      <c r="C25" s="31" t="s">
        <v>102</v>
      </c>
      <c r="D25" s="71">
        <v>5</v>
      </c>
      <c r="E25" s="71">
        <v>5</v>
      </c>
      <c r="F25" s="71">
        <v>5</v>
      </c>
      <c r="G25" s="62">
        <f>SUM(LARGE(D25:F25,{1,2}))</f>
        <v>10</v>
      </c>
      <c r="H25" s="62">
        <f t="shared" si="0"/>
        <v>5</v>
      </c>
      <c r="I25" s="63">
        <f t="shared" si="1"/>
        <v>5</v>
      </c>
      <c r="J25" s="71">
        <v>25</v>
      </c>
      <c r="K25" s="78">
        <v>25</v>
      </c>
      <c r="L25" s="70">
        <v>25</v>
      </c>
      <c r="M25" s="79">
        <f>SUM(LARGE(J25:L25,{1,2}))</f>
        <v>50</v>
      </c>
      <c r="N25" s="62">
        <f t="shared" si="2"/>
        <v>5</v>
      </c>
      <c r="O25" s="63">
        <f t="shared" si="3"/>
        <v>5</v>
      </c>
      <c r="P25" s="63">
        <v>5</v>
      </c>
      <c r="Q25" s="72">
        <v>71</v>
      </c>
      <c r="R25" s="64">
        <f t="shared" si="4"/>
        <v>0</v>
      </c>
      <c r="S25" s="65">
        <f t="shared" si="5"/>
        <v>15</v>
      </c>
      <c r="T25" s="71">
        <v>40</v>
      </c>
      <c r="U25" s="71">
        <v>57.999999999999993</v>
      </c>
      <c r="V25" s="71">
        <v>55</v>
      </c>
      <c r="W25" s="62">
        <f>SUM(LARGE(T25:V25,{1,2}))</f>
        <v>113</v>
      </c>
      <c r="X25" s="62">
        <f t="shared" si="6"/>
        <v>11.3</v>
      </c>
      <c r="Y25" s="66">
        <f t="shared" si="7"/>
        <v>12</v>
      </c>
      <c r="Z25" s="67">
        <f t="shared" si="8"/>
        <v>27</v>
      </c>
    </row>
    <row r="26" spans="1:26" ht="24.95" customHeight="1">
      <c r="A26" s="30">
        <v>14</v>
      </c>
      <c r="B26" s="30" t="s">
        <v>103</v>
      </c>
      <c r="C26" s="31" t="s">
        <v>104</v>
      </c>
      <c r="D26" s="71">
        <v>5</v>
      </c>
      <c r="E26" s="71">
        <v>5</v>
      </c>
      <c r="F26" s="71">
        <v>5</v>
      </c>
      <c r="G26" s="62">
        <f>SUM(LARGE(D26:F26,{1,2}))</f>
        <v>10</v>
      </c>
      <c r="H26" s="62">
        <f t="shared" si="0"/>
        <v>5</v>
      </c>
      <c r="I26" s="63">
        <f t="shared" si="1"/>
        <v>5</v>
      </c>
      <c r="J26" s="71">
        <v>25</v>
      </c>
      <c r="K26" s="78">
        <v>25</v>
      </c>
      <c r="L26" s="70">
        <v>25</v>
      </c>
      <c r="M26" s="79">
        <f>SUM(LARGE(J26:L26,{1,2}))</f>
        <v>50</v>
      </c>
      <c r="N26" s="62">
        <f t="shared" si="2"/>
        <v>5</v>
      </c>
      <c r="O26" s="63">
        <f t="shared" si="3"/>
        <v>5</v>
      </c>
      <c r="P26" s="63">
        <v>5</v>
      </c>
      <c r="Q26" s="68">
        <v>97</v>
      </c>
      <c r="R26" s="64">
        <f t="shared" si="4"/>
        <v>5</v>
      </c>
      <c r="S26" s="65">
        <f t="shared" si="5"/>
        <v>20</v>
      </c>
      <c r="T26" s="71">
        <v>34</v>
      </c>
      <c r="U26" s="71">
        <v>90</v>
      </c>
      <c r="V26" s="71">
        <v>98</v>
      </c>
      <c r="W26" s="62">
        <f>SUM(LARGE(T26:V26,{1,2}))</f>
        <v>188</v>
      </c>
      <c r="X26" s="62">
        <f t="shared" si="6"/>
        <v>18.8</v>
      </c>
      <c r="Y26" s="66">
        <f t="shared" si="7"/>
        <v>19</v>
      </c>
      <c r="Z26" s="67">
        <f t="shared" si="8"/>
        <v>39</v>
      </c>
    </row>
    <row r="27" spans="1:26" ht="24.95" customHeight="1">
      <c r="A27" s="30">
        <v>15</v>
      </c>
      <c r="B27" s="30" t="s">
        <v>105</v>
      </c>
      <c r="C27" s="31" t="s">
        <v>106</v>
      </c>
      <c r="D27" s="71">
        <v>5</v>
      </c>
      <c r="E27" s="71">
        <v>5</v>
      </c>
      <c r="F27" s="71">
        <v>5</v>
      </c>
      <c r="G27" s="62">
        <f>SUM(LARGE(D27:F27,{1,2}))</f>
        <v>10</v>
      </c>
      <c r="H27" s="62">
        <f t="shared" si="0"/>
        <v>5</v>
      </c>
      <c r="I27" s="63">
        <f t="shared" si="1"/>
        <v>5</v>
      </c>
      <c r="J27" s="71">
        <v>25</v>
      </c>
      <c r="K27" s="78">
        <v>25</v>
      </c>
      <c r="L27" s="70">
        <v>25</v>
      </c>
      <c r="M27" s="79">
        <f>SUM(LARGE(J27:L27,{1,2}))</f>
        <v>50</v>
      </c>
      <c r="N27" s="62">
        <f t="shared" si="2"/>
        <v>5</v>
      </c>
      <c r="O27" s="63">
        <f t="shared" si="3"/>
        <v>5</v>
      </c>
      <c r="P27" s="63">
        <v>5</v>
      </c>
      <c r="Q27" s="68">
        <v>86</v>
      </c>
      <c r="R27" s="64">
        <f t="shared" si="4"/>
        <v>3</v>
      </c>
      <c r="S27" s="65">
        <f t="shared" si="5"/>
        <v>18</v>
      </c>
      <c r="T27" s="71">
        <v>44</v>
      </c>
      <c r="U27" s="71">
        <v>46</v>
      </c>
      <c r="V27" s="71">
        <v>50</v>
      </c>
      <c r="W27" s="62">
        <f>SUM(LARGE(T27:V27,{1,2}))</f>
        <v>96</v>
      </c>
      <c r="X27" s="62">
        <f t="shared" si="6"/>
        <v>9.6</v>
      </c>
      <c r="Y27" s="66">
        <f t="shared" si="7"/>
        <v>10</v>
      </c>
      <c r="Z27" s="67">
        <f t="shared" si="8"/>
        <v>28</v>
      </c>
    </row>
    <row r="28" spans="1:26" ht="24.95" customHeight="1">
      <c r="A28" s="30">
        <v>16</v>
      </c>
      <c r="B28" s="30" t="s">
        <v>107</v>
      </c>
      <c r="C28" s="31" t="s">
        <v>108</v>
      </c>
      <c r="D28" s="71">
        <v>5</v>
      </c>
      <c r="E28" s="71">
        <v>5</v>
      </c>
      <c r="F28" s="71">
        <v>5</v>
      </c>
      <c r="G28" s="62">
        <f>SUM(LARGE(D28:F28,{1,2}))</f>
        <v>10</v>
      </c>
      <c r="H28" s="62">
        <f t="shared" si="0"/>
        <v>5</v>
      </c>
      <c r="I28" s="63">
        <f t="shared" si="1"/>
        <v>5</v>
      </c>
      <c r="J28" s="71">
        <v>25</v>
      </c>
      <c r="K28" s="78">
        <v>25</v>
      </c>
      <c r="L28" s="70">
        <v>25</v>
      </c>
      <c r="M28" s="79">
        <f>SUM(LARGE(J28:L28,{1,2}))</f>
        <v>50</v>
      </c>
      <c r="N28" s="62">
        <f t="shared" si="2"/>
        <v>5</v>
      </c>
      <c r="O28" s="63">
        <f t="shared" si="3"/>
        <v>5</v>
      </c>
      <c r="P28" s="63">
        <v>5</v>
      </c>
      <c r="Q28" s="72">
        <v>73</v>
      </c>
      <c r="R28" s="64">
        <f t="shared" si="4"/>
        <v>0</v>
      </c>
      <c r="S28" s="65">
        <f t="shared" si="5"/>
        <v>15</v>
      </c>
      <c r="T28" s="71">
        <v>40</v>
      </c>
      <c r="U28" s="71">
        <v>40</v>
      </c>
      <c r="V28" s="71">
        <v>40</v>
      </c>
      <c r="W28" s="62">
        <f>SUM(LARGE(T28:V28,{1,2}))</f>
        <v>80</v>
      </c>
      <c r="X28" s="62">
        <f t="shared" si="6"/>
        <v>8</v>
      </c>
      <c r="Y28" s="66">
        <f t="shared" si="7"/>
        <v>8</v>
      </c>
      <c r="Z28" s="67">
        <f t="shared" si="8"/>
        <v>23</v>
      </c>
    </row>
    <row r="29" spans="1:26" ht="24.95" customHeight="1">
      <c r="A29" s="30">
        <v>17</v>
      </c>
      <c r="B29" s="30" t="s">
        <v>109</v>
      </c>
      <c r="C29" s="31" t="s">
        <v>110</v>
      </c>
      <c r="D29" s="71">
        <v>5</v>
      </c>
      <c r="E29" s="71">
        <v>5</v>
      </c>
      <c r="F29" s="71">
        <v>5</v>
      </c>
      <c r="G29" s="62">
        <f>SUM(LARGE(D29:F29,{1,2}))</f>
        <v>10</v>
      </c>
      <c r="H29" s="62">
        <f t="shared" si="0"/>
        <v>5</v>
      </c>
      <c r="I29" s="63">
        <f t="shared" si="1"/>
        <v>5</v>
      </c>
      <c r="J29" s="71">
        <v>25</v>
      </c>
      <c r="K29" s="78">
        <v>25</v>
      </c>
      <c r="L29" s="70">
        <v>25</v>
      </c>
      <c r="M29" s="79">
        <f>SUM(LARGE(J29:L29,{1,2}))</f>
        <v>50</v>
      </c>
      <c r="N29" s="62">
        <f t="shared" si="2"/>
        <v>5</v>
      </c>
      <c r="O29" s="63">
        <f t="shared" si="3"/>
        <v>5</v>
      </c>
      <c r="P29" s="63">
        <v>5</v>
      </c>
      <c r="Q29" s="68">
        <v>91</v>
      </c>
      <c r="R29" s="64">
        <f t="shared" si="4"/>
        <v>4</v>
      </c>
      <c r="S29" s="65">
        <f t="shared" si="5"/>
        <v>19</v>
      </c>
      <c r="T29" s="71">
        <v>40</v>
      </c>
      <c r="U29" s="71">
        <v>48</v>
      </c>
      <c r="V29" s="71">
        <v>70</v>
      </c>
      <c r="W29" s="62">
        <f>SUM(LARGE(T29:V29,{1,2}))</f>
        <v>118</v>
      </c>
      <c r="X29" s="62">
        <f t="shared" si="6"/>
        <v>11.8</v>
      </c>
      <c r="Y29" s="66">
        <f t="shared" si="7"/>
        <v>12</v>
      </c>
      <c r="Z29" s="67">
        <f t="shared" si="8"/>
        <v>31</v>
      </c>
    </row>
    <row r="30" spans="1:26" ht="24.95" customHeight="1">
      <c r="A30" s="30">
        <v>18</v>
      </c>
      <c r="B30" s="30" t="s">
        <v>111</v>
      </c>
      <c r="C30" s="31" t="s">
        <v>112</v>
      </c>
      <c r="D30" s="71">
        <v>5</v>
      </c>
      <c r="E30" s="71">
        <v>5</v>
      </c>
      <c r="F30" s="71">
        <v>5</v>
      </c>
      <c r="G30" s="62">
        <f>SUM(LARGE(D30:F30,{1,2}))</f>
        <v>10</v>
      </c>
      <c r="H30" s="62">
        <f t="shared" si="0"/>
        <v>5</v>
      </c>
      <c r="I30" s="63">
        <f t="shared" si="1"/>
        <v>5</v>
      </c>
      <c r="J30" s="71">
        <v>25</v>
      </c>
      <c r="K30" s="78">
        <v>25</v>
      </c>
      <c r="L30" s="70">
        <v>25</v>
      </c>
      <c r="M30" s="79">
        <f>SUM(LARGE(J30:L30,{1,2}))</f>
        <v>50</v>
      </c>
      <c r="N30" s="62">
        <f t="shared" si="2"/>
        <v>5</v>
      </c>
      <c r="O30" s="63">
        <f t="shared" si="3"/>
        <v>5</v>
      </c>
      <c r="P30" s="63">
        <v>5</v>
      </c>
      <c r="Q30" s="68">
        <v>84</v>
      </c>
      <c r="R30" s="64">
        <f t="shared" si="4"/>
        <v>2</v>
      </c>
      <c r="S30" s="65">
        <f t="shared" si="5"/>
        <v>17</v>
      </c>
      <c r="T30" s="71">
        <v>40</v>
      </c>
      <c r="U30" s="71">
        <v>60</v>
      </c>
      <c r="V30" s="71">
        <v>65</v>
      </c>
      <c r="W30" s="62">
        <f>SUM(LARGE(T30:V30,{1,2}))</f>
        <v>125</v>
      </c>
      <c r="X30" s="62">
        <f t="shared" si="6"/>
        <v>12.5</v>
      </c>
      <c r="Y30" s="66">
        <f t="shared" si="7"/>
        <v>13</v>
      </c>
      <c r="Z30" s="67">
        <f t="shared" si="8"/>
        <v>30</v>
      </c>
    </row>
    <row r="31" spans="1:26" ht="24.95" customHeight="1">
      <c r="A31" s="30">
        <v>19</v>
      </c>
      <c r="B31" s="30" t="s">
        <v>113</v>
      </c>
      <c r="C31" s="31" t="s">
        <v>114</v>
      </c>
      <c r="D31" s="71">
        <v>5</v>
      </c>
      <c r="E31" s="71">
        <v>5</v>
      </c>
      <c r="F31" s="71">
        <v>5</v>
      </c>
      <c r="G31" s="62">
        <f>SUM(LARGE(D31:F31,{1,2}))</f>
        <v>10</v>
      </c>
      <c r="H31" s="62">
        <f t="shared" si="0"/>
        <v>5</v>
      </c>
      <c r="I31" s="63">
        <f t="shared" si="1"/>
        <v>5</v>
      </c>
      <c r="J31" s="71">
        <v>25</v>
      </c>
      <c r="K31" s="78">
        <v>25</v>
      </c>
      <c r="L31" s="70">
        <v>25</v>
      </c>
      <c r="M31" s="79">
        <f>SUM(LARGE(J31:L31,{1,2}))</f>
        <v>50</v>
      </c>
      <c r="N31" s="62">
        <f t="shared" si="2"/>
        <v>5</v>
      </c>
      <c r="O31" s="63">
        <f t="shared" si="3"/>
        <v>5</v>
      </c>
      <c r="P31" s="63">
        <v>5</v>
      </c>
      <c r="Q31" s="68">
        <v>91</v>
      </c>
      <c r="R31" s="64">
        <f t="shared" si="4"/>
        <v>4</v>
      </c>
      <c r="S31" s="65">
        <f t="shared" si="5"/>
        <v>19</v>
      </c>
      <c r="T31" s="71">
        <v>52</v>
      </c>
      <c r="U31" s="71">
        <v>54</v>
      </c>
      <c r="V31" s="71">
        <v>58</v>
      </c>
      <c r="W31" s="62">
        <f>SUM(LARGE(T31:V31,{1,2}))</f>
        <v>112</v>
      </c>
      <c r="X31" s="62">
        <f t="shared" si="6"/>
        <v>11.2</v>
      </c>
      <c r="Y31" s="66">
        <f t="shared" si="7"/>
        <v>12</v>
      </c>
      <c r="Z31" s="67">
        <f t="shared" si="8"/>
        <v>31</v>
      </c>
    </row>
    <row r="32" spans="1:26" ht="24.95" customHeight="1">
      <c r="A32" s="30">
        <v>20</v>
      </c>
      <c r="B32" s="30" t="s">
        <v>115</v>
      </c>
      <c r="C32" s="31" t="s">
        <v>116</v>
      </c>
      <c r="D32" s="71">
        <v>5</v>
      </c>
      <c r="E32" s="71">
        <v>5</v>
      </c>
      <c r="F32" s="71">
        <v>5</v>
      </c>
      <c r="G32" s="62">
        <f>SUM(LARGE(D32:F32,{1,2}))</f>
        <v>10</v>
      </c>
      <c r="H32" s="62">
        <f t="shared" si="0"/>
        <v>5</v>
      </c>
      <c r="I32" s="63">
        <f t="shared" si="1"/>
        <v>5</v>
      </c>
      <c r="J32" s="71">
        <v>25</v>
      </c>
      <c r="K32" s="78">
        <v>25</v>
      </c>
      <c r="L32" s="70">
        <v>25</v>
      </c>
      <c r="M32" s="79">
        <f>SUM(LARGE(J32:L32,{1,2}))</f>
        <v>50</v>
      </c>
      <c r="N32" s="62">
        <f t="shared" si="2"/>
        <v>5</v>
      </c>
      <c r="O32" s="63">
        <f t="shared" si="3"/>
        <v>5</v>
      </c>
      <c r="P32" s="63">
        <v>5</v>
      </c>
      <c r="Q32" s="68">
        <v>90</v>
      </c>
      <c r="R32" s="64">
        <f t="shared" si="4"/>
        <v>4</v>
      </c>
      <c r="S32" s="65">
        <f t="shared" si="5"/>
        <v>19</v>
      </c>
      <c r="T32" s="71">
        <v>82</v>
      </c>
      <c r="U32" s="71">
        <v>40</v>
      </c>
      <c r="V32" s="71">
        <v>75</v>
      </c>
      <c r="W32" s="62">
        <f>SUM(LARGE(T32:V32,{1,2}))</f>
        <v>157</v>
      </c>
      <c r="X32" s="62">
        <f t="shared" si="6"/>
        <v>15.7</v>
      </c>
      <c r="Y32" s="66">
        <f t="shared" si="7"/>
        <v>16</v>
      </c>
      <c r="Z32" s="67">
        <f t="shared" si="8"/>
        <v>35</v>
      </c>
    </row>
    <row r="33" spans="1:26" ht="24.95" customHeight="1">
      <c r="A33" s="30">
        <v>21</v>
      </c>
      <c r="B33" s="30" t="s">
        <v>117</v>
      </c>
      <c r="C33" s="31" t="s">
        <v>118</v>
      </c>
      <c r="D33" s="71">
        <v>5</v>
      </c>
      <c r="E33" s="71">
        <v>5</v>
      </c>
      <c r="F33" s="71">
        <v>5</v>
      </c>
      <c r="G33" s="62">
        <f>SUM(LARGE(D33:F33,{1,2}))</f>
        <v>10</v>
      </c>
      <c r="H33" s="62">
        <f t="shared" si="0"/>
        <v>5</v>
      </c>
      <c r="I33" s="63">
        <f t="shared" si="1"/>
        <v>5</v>
      </c>
      <c r="J33" s="71">
        <v>25</v>
      </c>
      <c r="K33" s="78">
        <v>25</v>
      </c>
      <c r="L33" s="70">
        <v>25</v>
      </c>
      <c r="M33" s="79">
        <f>SUM(LARGE(J33:L33,{1,2}))</f>
        <v>50</v>
      </c>
      <c r="N33" s="62">
        <f t="shared" si="2"/>
        <v>5</v>
      </c>
      <c r="O33" s="63">
        <f t="shared" si="3"/>
        <v>5</v>
      </c>
      <c r="P33" s="63">
        <v>5</v>
      </c>
      <c r="Q33" s="68">
        <v>86</v>
      </c>
      <c r="R33" s="64">
        <f t="shared" si="4"/>
        <v>3</v>
      </c>
      <c r="S33" s="65">
        <f t="shared" si="5"/>
        <v>18</v>
      </c>
      <c r="T33" s="71">
        <v>42</v>
      </c>
      <c r="U33" s="71">
        <v>66</v>
      </c>
      <c r="V33" s="71">
        <v>48</v>
      </c>
      <c r="W33" s="62">
        <f>SUM(LARGE(T33:V33,{1,2}))</f>
        <v>114</v>
      </c>
      <c r="X33" s="62">
        <f t="shared" si="6"/>
        <v>11.4</v>
      </c>
      <c r="Y33" s="66">
        <f t="shared" si="7"/>
        <v>12</v>
      </c>
      <c r="Z33" s="67">
        <f t="shared" si="8"/>
        <v>30</v>
      </c>
    </row>
    <row r="34" spans="1:26" ht="24.95" customHeight="1">
      <c r="A34" s="30">
        <v>22</v>
      </c>
      <c r="B34" s="30" t="s">
        <v>119</v>
      </c>
      <c r="C34" s="31" t="s">
        <v>120</v>
      </c>
      <c r="D34" s="71">
        <v>5</v>
      </c>
      <c r="E34" s="71">
        <v>5</v>
      </c>
      <c r="F34" s="71">
        <v>5</v>
      </c>
      <c r="G34" s="62">
        <f>SUM(LARGE(D34:F34,{1,2}))</f>
        <v>10</v>
      </c>
      <c r="H34" s="62">
        <f t="shared" si="0"/>
        <v>5</v>
      </c>
      <c r="I34" s="63">
        <f t="shared" si="1"/>
        <v>5</v>
      </c>
      <c r="J34" s="71">
        <v>25</v>
      </c>
      <c r="K34" s="78">
        <v>25</v>
      </c>
      <c r="L34" s="70">
        <v>25</v>
      </c>
      <c r="M34" s="79">
        <f>SUM(LARGE(J34:L34,{1,2}))</f>
        <v>50</v>
      </c>
      <c r="N34" s="62">
        <f t="shared" si="2"/>
        <v>5</v>
      </c>
      <c r="O34" s="63">
        <f t="shared" si="3"/>
        <v>5</v>
      </c>
      <c r="P34" s="63">
        <v>5</v>
      </c>
      <c r="Q34" s="68">
        <v>82</v>
      </c>
      <c r="R34" s="64">
        <f t="shared" si="4"/>
        <v>2</v>
      </c>
      <c r="S34" s="65">
        <f t="shared" si="5"/>
        <v>17</v>
      </c>
      <c r="T34" s="71">
        <v>82</v>
      </c>
      <c r="U34" s="71">
        <v>88</v>
      </c>
      <c r="V34" s="71">
        <v>50</v>
      </c>
      <c r="W34" s="62">
        <f>SUM(LARGE(T34:V34,{1,2}))</f>
        <v>170</v>
      </c>
      <c r="X34" s="62">
        <f t="shared" si="6"/>
        <v>17</v>
      </c>
      <c r="Y34" s="66">
        <f t="shared" si="7"/>
        <v>17</v>
      </c>
      <c r="Z34" s="67">
        <f t="shared" si="8"/>
        <v>34</v>
      </c>
    </row>
    <row r="35" spans="1:26" ht="24.95" customHeight="1">
      <c r="A35" s="30">
        <v>23</v>
      </c>
      <c r="B35" s="30" t="s">
        <v>121</v>
      </c>
      <c r="C35" s="31" t="s">
        <v>122</v>
      </c>
      <c r="D35" s="71">
        <v>5</v>
      </c>
      <c r="E35" s="71">
        <v>5</v>
      </c>
      <c r="F35" s="71">
        <v>5</v>
      </c>
      <c r="G35" s="62">
        <f>SUM(LARGE(D35:F35,{1,2}))</f>
        <v>10</v>
      </c>
      <c r="H35" s="62">
        <f t="shared" si="0"/>
        <v>5</v>
      </c>
      <c r="I35" s="63">
        <f t="shared" si="1"/>
        <v>5</v>
      </c>
      <c r="J35" s="71">
        <v>25</v>
      </c>
      <c r="K35" s="78">
        <v>25</v>
      </c>
      <c r="L35" s="70">
        <v>25</v>
      </c>
      <c r="M35" s="79">
        <f>SUM(LARGE(J35:L35,{1,2}))</f>
        <v>50</v>
      </c>
      <c r="N35" s="62">
        <f t="shared" si="2"/>
        <v>5</v>
      </c>
      <c r="O35" s="63">
        <f t="shared" si="3"/>
        <v>5</v>
      </c>
      <c r="P35" s="63">
        <v>5</v>
      </c>
      <c r="Q35" s="68">
        <v>96</v>
      </c>
      <c r="R35" s="64">
        <f t="shared" si="4"/>
        <v>5</v>
      </c>
      <c r="S35" s="65">
        <f t="shared" si="5"/>
        <v>20</v>
      </c>
      <c r="T35" s="71">
        <v>84</v>
      </c>
      <c r="U35" s="71">
        <v>84</v>
      </c>
      <c r="V35" s="71">
        <v>100</v>
      </c>
      <c r="W35" s="62">
        <f>SUM(LARGE(T35:V35,{1,2}))</f>
        <v>184</v>
      </c>
      <c r="X35" s="62">
        <f t="shared" si="6"/>
        <v>18.399999999999999</v>
      </c>
      <c r="Y35" s="66">
        <f t="shared" si="7"/>
        <v>19</v>
      </c>
      <c r="Z35" s="67">
        <f t="shared" si="8"/>
        <v>39</v>
      </c>
    </row>
    <row r="36" spans="1:26" ht="24.95" customHeight="1">
      <c r="A36" s="30">
        <v>24</v>
      </c>
      <c r="B36" s="30" t="s">
        <v>123</v>
      </c>
      <c r="C36" s="31" t="s">
        <v>124</v>
      </c>
      <c r="D36" s="71">
        <v>5</v>
      </c>
      <c r="E36" s="71">
        <v>5</v>
      </c>
      <c r="F36" s="71">
        <v>5</v>
      </c>
      <c r="G36" s="62">
        <f>SUM(LARGE(D36:F36,{1,2}))</f>
        <v>10</v>
      </c>
      <c r="H36" s="62">
        <f t="shared" si="0"/>
        <v>5</v>
      </c>
      <c r="I36" s="63">
        <f t="shared" si="1"/>
        <v>5</v>
      </c>
      <c r="J36" s="71">
        <v>25</v>
      </c>
      <c r="K36" s="78">
        <v>25</v>
      </c>
      <c r="L36" s="70">
        <v>25</v>
      </c>
      <c r="M36" s="79">
        <f>SUM(LARGE(J36:L36,{1,2}))</f>
        <v>50</v>
      </c>
      <c r="N36" s="62">
        <f t="shared" si="2"/>
        <v>5</v>
      </c>
      <c r="O36" s="63">
        <f t="shared" si="3"/>
        <v>5</v>
      </c>
      <c r="P36" s="63">
        <v>5</v>
      </c>
      <c r="Q36" s="68">
        <v>90</v>
      </c>
      <c r="R36" s="64">
        <f t="shared" si="4"/>
        <v>4</v>
      </c>
      <c r="S36" s="65">
        <f t="shared" si="5"/>
        <v>19</v>
      </c>
      <c r="T36" s="71">
        <v>42</v>
      </c>
      <c r="U36" s="71">
        <v>84</v>
      </c>
      <c r="V36" s="71">
        <v>55</v>
      </c>
      <c r="W36" s="62">
        <f>SUM(LARGE(T36:V36,{1,2}))</f>
        <v>139</v>
      </c>
      <c r="X36" s="62">
        <f t="shared" si="6"/>
        <v>13.9</v>
      </c>
      <c r="Y36" s="66">
        <f t="shared" si="7"/>
        <v>14</v>
      </c>
      <c r="Z36" s="67">
        <f t="shared" si="8"/>
        <v>33</v>
      </c>
    </row>
    <row r="37" spans="1:26" ht="24.95" customHeight="1">
      <c r="A37" s="30">
        <v>25</v>
      </c>
      <c r="B37" s="30" t="s">
        <v>125</v>
      </c>
      <c r="C37" s="31" t="s">
        <v>126</v>
      </c>
      <c r="D37" s="71">
        <v>5</v>
      </c>
      <c r="E37" s="71">
        <v>5</v>
      </c>
      <c r="F37" s="71">
        <v>5</v>
      </c>
      <c r="G37" s="62">
        <f>SUM(LARGE(D37:F37,{1,2}))</f>
        <v>10</v>
      </c>
      <c r="H37" s="62">
        <f t="shared" si="0"/>
        <v>5</v>
      </c>
      <c r="I37" s="63">
        <f t="shared" si="1"/>
        <v>5</v>
      </c>
      <c r="J37" s="71">
        <v>25</v>
      </c>
      <c r="K37" s="78">
        <v>25</v>
      </c>
      <c r="L37" s="70">
        <v>25</v>
      </c>
      <c r="M37" s="79">
        <f>SUM(LARGE(J37:L37,{1,2}))</f>
        <v>50</v>
      </c>
      <c r="N37" s="62">
        <f t="shared" si="2"/>
        <v>5</v>
      </c>
      <c r="O37" s="63">
        <f t="shared" si="3"/>
        <v>5</v>
      </c>
      <c r="P37" s="63">
        <v>5</v>
      </c>
      <c r="Q37" s="68">
        <v>90</v>
      </c>
      <c r="R37" s="64">
        <f t="shared" si="4"/>
        <v>4</v>
      </c>
      <c r="S37" s="65">
        <f t="shared" si="5"/>
        <v>19</v>
      </c>
      <c r="T37" s="71">
        <v>2</v>
      </c>
      <c r="U37" s="71">
        <v>40</v>
      </c>
      <c r="V37" s="71">
        <v>58</v>
      </c>
      <c r="W37" s="62">
        <f>SUM(LARGE(T37:V37,{1,2}))</f>
        <v>98</v>
      </c>
      <c r="X37" s="62">
        <f t="shared" si="6"/>
        <v>9.8000000000000007</v>
      </c>
      <c r="Y37" s="66">
        <f t="shared" si="7"/>
        <v>10</v>
      </c>
      <c r="Z37" s="67">
        <f t="shared" si="8"/>
        <v>29</v>
      </c>
    </row>
    <row r="38" spans="1:26" ht="24.95" customHeight="1">
      <c r="A38" s="30">
        <v>26</v>
      </c>
      <c r="B38" s="30" t="s">
        <v>127</v>
      </c>
      <c r="C38" s="31" t="s">
        <v>128</v>
      </c>
      <c r="D38" s="71">
        <v>5</v>
      </c>
      <c r="E38" s="71">
        <v>5</v>
      </c>
      <c r="F38" s="71">
        <v>5</v>
      </c>
      <c r="G38" s="62">
        <f>SUM(LARGE(D38:F38,{1,2}))</f>
        <v>10</v>
      </c>
      <c r="H38" s="62">
        <f t="shared" si="0"/>
        <v>5</v>
      </c>
      <c r="I38" s="63">
        <f t="shared" si="1"/>
        <v>5</v>
      </c>
      <c r="J38" s="71">
        <v>25</v>
      </c>
      <c r="K38" s="78">
        <v>25</v>
      </c>
      <c r="L38" s="70">
        <v>25</v>
      </c>
      <c r="M38" s="79">
        <f>SUM(LARGE(J38:L38,{1,2}))</f>
        <v>50</v>
      </c>
      <c r="N38" s="62">
        <f t="shared" si="2"/>
        <v>5</v>
      </c>
      <c r="O38" s="63">
        <f t="shared" si="3"/>
        <v>5</v>
      </c>
      <c r="P38" s="63">
        <v>5</v>
      </c>
      <c r="Q38" s="68">
        <v>84</v>
      </c>
      <c r="R38" s="64">
        <f t="shared" si="4"/>
        <v>2</v>
      </c>
      <c r="S38" s="65">
        <f t="shared" si="5"/>
        <v>17</v>
      </c>
      <c r="T38" s="71">
        <v>40</v>
      </c>
      <c r="U38" s="71">
        <v>57.999999999999993</v>
      </c>
      <c r="V38" s="71">
        <v>10</v>
      </c>
      <c r="W38" s="62">
        <f>SUM(LARGE(T38:V38,{1,2}))</f>
        <v>98</v>
      </c>
      <c r="X38" s="62">
        <f t="shared" si="6"/>
        <v>9.8000000000000007</v>
      </c>
      <c r="Y38" s="66">
        <f t="shared" si="7"/>
        <v>10</v>
      </c>
      <c r="Z38" s="67">
        <f t="shared" si="8"/>
        <v>27</v>
      </c>
    </row>
    <row r="39" spans="1:26" ht="24.95" customHeight="1">
      <c r="A39" s="30">
        <v>27</v>
      </c>
      <c r="B39" s="30" t="s">
        <v>129</v>
      </c>
      <c r="C39" s="31" t="s">
        <v>130</v>
      </c>
      <c r="D39" s="71">
        <v>5</v>
      </c>
      <c r="E39" s="71">
        <v>5</v>
      </c>
      <c r="F39" s="71">
        <v>5</v>
      </c>
      <c r="G39" s="62">
        <f>SUM(LARGE(D39:F39,{1,2}))</f>
        <v>10</v>
      </c>
      <c r="H39" s="62">
        <f t="shared" si="0"/>
        <v>5</v>
      </c>
      <c r="I39" s="63">
        <f t="shared" si="1"/>
        <v>5</v>
      </c>
      <c r="J39" s="71">
        <v>25</v>
      </c>
      <c r="K39" s="78">
        <v>25</v>
      </c>
      <c r="L39" s="70">
        <v>25</v>
      </c>
      <c r="M39" s="79">
        <f>SUM(LARGE(J39:L39,{1,2}))</f>
        <v>50</v>
      </c>
      <c r="N39" s="62">
        <f t="shared" si="2"/>
        <v>5</v>
      </c>
      <c r="O39" s="63">
        <f t="shared" si="3"/>
        <v>5</v>
      </c>
      <c r="P39" s="63">
        <v>5</v>
      </c>
      <c r="Q39" s="68">
        <v>86</v>
      </c>
      <c r="R39" s="64">
        <f t="shared" si="4"/>
        <v>3</v>
      </c>
      <c r="S39" s="65">
        <f t="shared" si="5"/>
        <v>18</v>
      </c>
      <c r="T39" s="71">
        <v>40</v>
      </c>
      <c r="U39" s="71">
        <v>42</v>
      </c>
      <c r="V39" s="71">
        <v>40</v>
      </c>
      <c r="W39" s="62">
        <f>SUM(LARGE(T39:V39,{1,2}))</f>
        <v>82</v>
      </c>
      <c r="X39" s="62">
        <f t="shared" si="6"/>
        <v>8.1999999999999993</v>
      </c>
      <c r="Y39" s="66">
        <f t="shared" si="7"/>
        <v>9</v>
      </c>
      <c r="Z39" s="67">
        <f t="shared" si="8"/>
        <v>27</v>
      </c>
    </row>
    <row r="40" spans="1:26" ht="24.95" customHeight="1">
      <c r="A40" s="30">
        <v>28</v>
      </c>
      <c r="B40" s="30" t="s">
        <v>131</v>
      </c>
      <c r="C40" s="31" t="s">
        <v>132</v>
      </c>
      <c r="D40" s="71">
        <v>5</v>
      </c>
      <c r="E40" s="71">
        <v>5</v>
      </c>
      <c r="F40" s="71">
        <v>5</v>
      </c>
      <c r="G40" s="62">
        <f>SUM(LARGE(D40:F40,{1,2}))</f>
        <v>10</v>
      </c>
      <c r="H40" s="62">
        <f t="shared" si="0"/>
        <v>5</v>
      </c>
      <c r="I40" s="63">
        <f t="shared" si="1"/>
        <v>5</v>
      </c>
      <c r="J40" s="71">
        <v>25</v>
      </c>
      <c r="K40" s="78">
        <v>25</v>
      </c>
      <c r="L40" s="70">
        <v>25</v>
      </c>
      <c r="M40" s="79">
        <f>SUM(LARGE(J40:L40,{1,2}))</f>
        <v>50</v>
      </c>
      <c r="N40" s="62">
        <f t="shared" si="2"/>
        <v>5</v>
      </c>
      <c r="O40" s="63">
        <f t="shared" si="3"/>
        <v>5</v>
      </c>
      <c r="P40" s="63">
        <v>5</v>
      </c>
      <c r="Q40" s="68">
        <v>83</v>
      </c>
      <c r="R40" s="64">
        <f t="shared" si="4"/>
        <v>2</v>
      </c>
      <c r="S40" s="65">
        <f t="shared" si="5"/>
        <v>17</v>
      </c>
      <c r="T40" s="71">
        <v>74</v>
      </c>
      <c r="U40" s="71">
        <v>76</v>
      </c>
      <c r="V40" s="71">
        <v>70</v>
      </c>
      <c r="W40" s="62">
        <f>SUM(LARGE(T40:V40,{1,2}))</f>
        <v>150</v>
      </c>
      <c r="X40" s="62">
        <f t="shared" si="6"/>
        <v>15</v>
      </c>
      <c r="Y40" s="66">
        <f t="shared" si="7"/>
        <v>15</v>
      </c>
      <c r="Z40" s="67">
        <f t="shared" si="8"/>
        <v>32</v>
      </c>
    </row>
    <row r="41" spans="1:26" ht="24.95" customHeight="1">
      <c r="A41" s="30">
        <v>29</v>
      </c>
      <c r="B41" s="30" t="s">
        <v>133</v>
      </c>
      <c r="C41" s="31" t="s">
        <v>134</v>
      </c>
      <c r="D41" s="71">
        <v>5</v>
      </c>
      <c r="E41" s="71">
        <v>5</v>
      </c>
      <c r="F41" s="71">
        <v>5</v>
      </c>
      <c r="G41" s="62">
        <f>SUM(LARGE(D41:F41,{1,2}))</f>
        <v>10</v>
      </c>
      <c r="H41" s="62">
        <f t="shared" si="0"/>
        <v>5</v>
      </c>
      <c r="I41" s="63">
        <f t="shared" si="1"/>
        <v>5</v>
      </c>
      <c r="J41" s="71">
        <v>25</v>
      </c>
      <c r="K41" s="78">
        <v>25</v>
      </c>
      <c r="L41" s="70">
        <v>25</v>
      </c>
      <c r="M41" s="79">
        <f>SUM(LARGE(J41:L41,{1,2}))</f>
        <v>50</v>
      </c>
      <c r="N41" s="62">
        <f t="shared" si="2"/>
        <v>5</v>
      </c>
      <c r="O41" s="63">
        <f t="shared" si="3"/>
        <v>5</v>
      </c>
      <c r="P41" s="63">
        <v>5</v>
      </c>
      <c r="Q41" s="68">
        <v>84</v>
      </c>
      <c r="R41" s="64">
        <f t="shared" si="4"/>
        <v>2</v>
      </c>
      <c r="S41" s="65">
        <f t="shared" si="5"/>
        <v>17</v>
      </c>
      <c r="T41" s="71">
        <v>76</v>
      </c>
      <c r="U41" s="71">
        <v>86</v>
      </c>
      <c r="V41" s="71">
        <v>70</v>
      </c>
      <c r="W41" s="62">
        <f>SUM(LARGE(T41:V41,{1,2}))</f>
        <v>162</v>
      </c>
      <c r="X41" s="62">
        <f t="shared" si="6"/>
        <v>16.2</v>
      </c>
      <c r="Y41" s="66">
        <f t="shared" si="7"/>
        <v>17</v>
      </c>
      <c r="Z41" s="67">
        <f t="shared" si="8"/>
        <v>34</v>
      </c>
    </row>
    <row r="42" spans="1:26" ht="24.95" customHeight="1">
      <c r="A42" s="30">
        <v>30</v>
      </c>
      <c r="B42" s="30" t="s">
        <v>135</v>
      </c>
      <c r="C42" s="31" t="s">
        <v>136</v>
      </c>
      <c r="D42" s="71">
        <v>5</v>
      </c>
      <c r="E42" s="71">
        <v>5</v>
      </c>
      <c r="F42" s="71">
        <v>5</v>
      </c>
      <c r="G42" s="62">
        <f>SUM(LARGE(D42:F42,{1,2}))</f>
        <v>10</v>
      </c>
      <c r="H42" s="62">
        <f t="shared" si="0"/>
        <v>5</v>
      </c>
      <c r="I42" s="63">
        <f t="shared" si="1"/>
        <v>5</v>
      </c>
      <c r="J42" s="71">
        <v>25</v>
      </c>
      <c r="K42" s="78">
        <v>25</v>
      </c>
      <c r="L42" s="70">
        <v>25</v>
      </c>
      <c r="M42" s="79">
        <f>SUM(LARGE(J42:L42,{1,2}))</f>
        <v>50</v>
      </c>
      <c r="N42" s="62">
        <f t="shared" si="2"/>
        <v>5</v>
      </c>
      <c r="O42" s="63">
        <f t="shared" si="3"/>
        <v>5</v>
      </c>
      <c r="P42" s="63">
        <v>5</v>
      </c>
      <c r="Q42" s="68">
        <v>96</v>
      </c>
      <c r="R42" s="64">
        <f t="shared" si="4"/>
        <v>5</v>
      </c>
      <c r="S42" s="65">
        <f t="shared" si="5"/>
        <v>20</v>
      </c>
      <c r="T42" s="71">
        <v>86</v>
      </c>
      <c r="U42" s="71">
        <v>82</v>
      </c>
      <c r="V42" s="71">
        <v>95</v>
      </c>
      <c r="W42" s="62">
        <f>SUM(LARGE(T42:V42,{1,2}))</f>
        <v>181</v>
      </c>
      <c r="X42" s="62">
        <f t="shared" si="6"/>
        <v>18.100000000000001</v>
      </c>
      <c r="Y42" s="66">
        <f t="shared" si="7"/>
        <v>19</v>
      </c>
      <c r="Z42" s="67">
        <f t="shared" si="8"/>
        <v>39</v>
      </c>
    </row>
    <row r="43" spans="1:26" ht="24.95" customHeight="1">
      <c r="A43" s="30">
        <v>31</v>
      </c>
      <c r="B43" s="30" t="s">
        <v>137</v>
      </c>
      <c r="C43" s="31" t="s">
        <v>138</v>
      </c>
      <c r="D43" s="71">
        <v>5</v>
      </c>
      <c r="E43" s="71">
        <v>5</v>
      </c>
      <c r="F43" s="71">
        <v>5</v>
      </c>
      <c r="G43" s="62">
        <f>SUM(LARGE(D43:F43,{1,2}))</f>
        <v>10</v>
      </c>
      <c r="H43" s="62">
        <f t="shared" si="0"/>
        <v>5</v>
      </c>
      <c r="I43" s="63">
        <f t="shared" si="1"/>
        <v>5</v>
      </c>
      <c r="J43" s="71">
        <v>25</v>
      </c>
      <c r="K43" s="78">
        <v>25</v>
      </c>
      <c r="L43" s="70">
        <v>25</v>
      </c>
      <c r="M43" s="79">
        <f>SUM(LARGE(J43:L43,{1,2}))</f>
        <v>50</v>
      </c>
      <c r="N43" s="62">
        <f t="shared" si="2"/>
        <v>5</v>
      </c>
      <c r="O43" s="63">
        <f t="shared" si="3"/>
        <v>5</v>
      </c>
      <c r="P43" s="63">
        <v>5</v>
      </c>
      <c r="Q43" s="68">
        <v>87</v>
      </c>
      <c r="R43" s="64">
        <f t="shared" si="4"/>
        <v>3</v>
      </c>
      <c r="S43" s="65">
        <f t="shared" si="5"/>
        <v>18</v>
      </c>
      <c r="T43" s="71">
        <v>76</v>
      </c>
      <c r="U43" s="71">
        <v>88</v>
      </c>
      <c r="V43" s="71">
        <v>93</v>
      </c>
      <c r="W43" s="62">
        <f>SUM(LARGE(T43:V43,{1,2}))</f>
        <v>181</v>
      </c>
      <c r="X43" s="62">
        <f t="shared" si="6"/>
        <v>18.100000000000001</v>
      </c>
      <c r="Y43" s="66">
        <f t="shared" si="7"/>
        <v>19</v>
      </c>
      <c r="Z43" s="67">
        <f t="shared" si="8"/>
        <v>37</v>
      </c>
    </row>
    <row r="44" spans="1:26" ht="24.95" customHeight="1">
      <c r="A44" s="30">
        <v>32</v>
      </c>
      <c r="B44" s="30" t="s">
        <v>139</v>
      </c>
      <c r="C44" s="31" t="s">
        <v>140</v>
      </c>
      <c r="D44" s="71">
        <v>5</v>
      </c>
      <c r="E44" s="71">
        <v>5</v>
      </c>
      <c r="F44" s="71">
        <v>5</v>
      </c>
      <c r="G44" s="62">
        <f>SUM(LARGE(D44:F44,{1,2}))</f>
        <v>10</v>
      </c>
      <c r="H44" s="62">
        <f t="shared" si="0"/>
        <v>5</v>
      </c>
      <c r="I44" s="63">
        <f t="shared" si="1"/>
        <v>5</v>
      </c>
      <c r="J44" s="71">
        <v>25</v>
      </c>
      <c r="K44" s="78">
        <v>25</v>
      </c>
      <c r="L44" s="70">
        <v>25</v>
      </c>
      <c r="M44" s="79">
        <f>SUM(LARGE(J44:L44,{1,2}))</f>
        <v>50</v>
      </c>
      <c r="N44" s="62">
        <f t="shared" si="2"/>
        <v>5</v>
      </c>
      <c r="O44" s="63">
        <f t="shared" si="3"/>
        <v>5</v>
      </c>
      <c r="P44" s="63">
        <v>5</v>
      </c>
      <c r="Q44" s="68">
        <v>93</v>
      </c>
      <c r="R44" s="64">
        <f t="shared" si="4"/>
        <v>4</v>
      </c>
      <c r="S44" s="65">
        <f t="shared" si="5"/>
        <v>19</v>
      </c>
      <c r="T44" s="71">
        <v>90</v>
      </c>
      <c r="U44" s="71">
        <v>92</v>
      </c>
      <c r="V44" s="71">
        <v>100</v>
      </c>
      <c r="W44" s="62">
        <f>SUM(LARGE(T44:V44,{1,2}))</f>
        <v>192</v>
      </c>
      <c r="X44" s="62">
        <f t="shared" si="6"/>
        <v>19.2</v>
      </c>
      <c r="Y44" s="66">
        <f t="shared" si="7"/>
        <v>20</v>
      </c>
      <c r="Z44" s="67">
        <f t="shared" si="8"/>
        <v>39</v>
      </c>
    </row>
    <row r="45" spans="1:26" ht="24.95" customHeight="1">
      <c r="A45" s="30">
        <v>33</v>
      </c>
      <c r="B45" s="30" t="s">
        <v>141</v>
      </c>
      <c r="C45" s="35" t="s">
        <v>142</v>
      </c>
      <c r="D45" s="71">
        <v>5</v>
      </c>
      <c r="E45" s="71">
        <v>5</v>
      </c>
      <c r="F45" s="71">
        <v>5</v>
      </c>
      <c r="G45" s="62">
        <f>SUM(LARGE(D45:F45,{1,2}))</f>
        <v>10</v>
      </c>
      <c r="H45" s="62">
        <f t="shared" si="0"/>
        <v>5</v>
      </c>
      <c r="I45" s="63">
        <f t="shared" si="1"/>
        <v>5</v>
      </c>
      <c r="J45" s="71">
        <v>25</v>
      </c>
      <c r="K45" s="78">
        <v>25</v>
      </c>
      <c r="L45" s="70">
        <v>25</v>
      </c>
      <c r="M45" s="79">
        <f>SUM(LARGE(J45:L45,{1,2}))</f>
        <v>50</v>
      </c>
      <c r="N45" s="62">
        <f t="shared" si="2"/>
        <v>5</v>
      </c>
      <c r="O45" s="63">
        <f t="shared" si="3"/>
        <v>5</v>
      </c>
      <c r="P45" s="63">
        <v>5</v>
      </c>
      <c r="Q45" s="68">
        <v>88</v>
      </c>
      <c r="R45" s="64">
        <f t="shared" si="4"/>
        <v>3</v>
      </c>
      <c r="S45" s="65">
        <f t="shared" si="5"/>
        <v>18</v>
      </c>
      <c r="T45" s="71">
        <v>44</v>
      </c>
      <c r="U45" s="71">
        <v>44</v>
      </c>
      <c r="V45" s="71">
        <v>65</v>
      </c>
      <c r="W45" s="62">
        <f>SUM(LARGE(T45:V45,{1,2}))</f>
        <v>109</v>
      </c>
      <c r="X45" s="62">
        <f t="shared" si="6"/>
        <v>10.9</v>
      </c>
      <c r="Y45" s="66">
        <f t="shared" si="7"/>
        <v>11</v>
      </c>
      <c r="Z45" s="67">
        <f t="shared" si="8"/>
        <v>29</v>
      </c>
    </row>
    <row r="46" spans="1:26" ht="24.95" customHeight="1">
      <c r="A46" s="30">
        <v>34</v>
      </c>
      <c r="B46" s="30" t="s">
        <v>143</v>
      </c>
      <c r="C46" s="31" t="s">
        <v>144</v>
      </c>
      <c r="D46" s="71">
        <v>5</v>
      </c>
      <c r="E46" s="71">
        <v>5</v>
      </c>
      <c r="F46" s="71">
        <v>5</v>
      </c>
      <c r="G46" s="62">
        <f>SUM(LARGE(D46:F46,{1,2}))</f>
        <v>10</v>
      </c>
      <c r="H46" s="62">
        <f t="shared" si="0"/>
        <v>5</v>
      </c>
      <c r="I46" s="63">
        <f t="shared" si="1"/>
        <v>5</v>
      </c>
      <c r="J46" s="71">
        <v>25</v>
      </c>
      <c r="K46" s="78">
        <v>25</v>
      </c>
      <c r="L46" s="70">
        <v>25</v>
      </c>
      <c r="M46" s="79">
        <f>SUM(LARGE(J46:L46,{1,2}))</f>
        <v>50</v>
      </c>
      <c r="N46" s="62">
        <f t="shared" si="2"/>
        <v>5</v>
      </c>
      <c r="O46" s="63">
        <f t="shared" si="3"/>
        <v>5</v>
      </c>
      <c r="P46" s="63">
        <v>5</v>
      </c>
      <c r="Q46" s="68">
        <v>92</v>
      </c>
      <c r="R46" s="64">
        <f t="shared" si="4"/>
        <v>4</v>
      </c>
      <c r="S46" s="65">
        <f t="shared" si="5"/>
        <v>19</v>
      </c>
      <c r="T46" s="71">
        <v>68</v>
      </c>
      <c r="U46" s="71">
        <v>90</v>
      </c>
      <c r="V46" s="71">
        <v>88</v>
      </c>
      <c r="W46" s="62">
        <f>SUM(LARGE(T46:V46,{1,2}))</f>
        <v>178</v>
      </c>
      <c r="X46" s="62">
        <f t="shared" si="6"/>
        <v>17.8</v>
      </c>
      <c r="Y46" s="66">
        <f t="shared" si="7"/>
        <v>18</v>
      </c>
      <c r="Z46" s="67">
        <f t="shared" si="8"/>
        <v>37</v>
      </c>
    </row>
    <row r="47" spans="1:26" ht="24.95" customHeight="1">
      <c r="A47" s="30">
        <v>35</v>
      </c>
      <c r="B47" s="30" t="s">
        <v>145</v>
      </c>
      <c r="C47" s="31" t="s">
        <v>146</v>
      </c>
      <c r="D47" s="71">
        <v>5</v>
      </c>
      <c r="E47" s="71">
        <v>5</v>
      </c>
      <c r="F47" s="71">
        <v>5</v>
      </c>
      <c r="G47" s="62">
        <f>SUM(LARGE(D47:F47,{1,2}))</f>
        <v>10</v>
      </c>
      <c r="H47" s="62">
        <f t="shared" si="0"/>
        <v>5</v>
      </c>
      <c r="I47" s="63">
        <f t="shared" si="1"/>
        <v>5</v>
      </c>
      <c r="J47" s="71">
        <v>25</v>
      </c>
      <c r="K47" s="78">
        <v>25</v>
      </c>
      <c r="L47" s="70">
        <v>25</v>
      </c>
      <c r="M47" s="79">
        <f>SUM(LARGE(J47:L47,{1,2}))</f>
        <v>50</v>
      </c>
      <c r="N47" s="62">
        <f t="shared" si="2"/>
        <v>5</v>
      </c>
      <c r="O47" s="63">
        <f t="shared" si="3"/>
        <v>5</v>
      </c>
      <c r="P47" s="63">
        <v>5</v>
      </c>
      <c r="Q47" s="68">
        <v>99</v>
      </c>
      <c r="R47" s="64">
        <f t="shared" si="4"/>
        <v>5</v>
      </c>
      <c r="S47" s="65">
        <f t="shared" si="5"/>
        <v>20</v>
      </c>
      <c r="T47" s="71">
        <v>52</v>
      </c>
      <c r="U47" s="71">
        <v>78</v>
      </c>
      <c r="V47" s="71">
        <v>98</v>
      </c>
      <c r="W47" s="62">
        <f>SUM(LARGE(T47:V47,{1,2}))</f>
        <v>176</v>
      </c>
      <c r="X47" s="62">
        <f t="shared" si="6"/>
        <v>17.600000000000001</v>
      </c>
      <c r="Y47" s="66">
        <f t="shared" si="7"/>
        <v>18</v>
      </c>
      <c r="Z47" s="67">
        <f t="shared" si="8"/>
        <v>38</v>
      </c>
    </row>
    <row r="48" spans="1:26" ht="24.95" customHeight="1">
      <c r="A48" s="30">
        <v>36</v>
      </c>
      <c r="B48" s="30" t="s">
        <v>147</v>
      </c>
      <c r="C48" s="31" t="s">
        <v>148</v>
      </c>
      <c r="D48" s="71">
        <v>5</v>
      </c>
      <c r="E48" s="71">
        <v>5</v>
      </c>
      <c r="F48" s="71">
        <v>5</v>
      </c>
      <c r="G48" s="62">
        <f>SUM(LARGE(D48:F48,{1,2}))</f>
        <v>10</v>
      </c>
      <c r="H48" s="62">
        <f t="shared" si="0"/>
        <v>5</v>
      </c>
      <c r="I48" s="63">
        <f t="shared" si="1"/>
        <v>5</v>
      </c>
      <c r="J48" s="71">
        <v>25</v>
      </c>
      <c r="K48" s="78">
        <v>25</v>
      </c>
      <c r="L48" s="70">
        <v>25</v>
      </c>
      <c r="M48" s="79">
        <f>SUM(LARGE(J48:L48,{1,2}))</f>
        <v>50</v>
      </c>
      <c r="N48" s="62">
        <f t="shared" si="2"/>
        <v>5</v>
      </c>
      <c r="O48" s="63">
        <f t="shared" si="3"/>
        <v>5</v>
      </c>
      <c r="P48" s="63">
        <v>5</v>
      </c>
      <c r="Q48" s="68">
        <v>80</v>
      </c>
      <c r="R48" s="64">
        <f t="shared" si="4"/>
        <v>2</v>
      </c>
      <c r="S48" s="65">
        <f t="shared" si="5"/>
        <v>17</v>
      </c>
      <c r="T48" s="71">
        <v>52</v>
      </c>
      <c r="U48" s="71">
        <v>60</v>
      </c>
      <c r="V48" s="71">
        <v>45</v>
      </c>
      <c r="W48" s="62">
        <f>SUM(LARGE(T48:V48,{1,2}))</f>
        <v>112</v>
      </c>
      <c r="X48" s="62">
        <f t="shared" si="6"/>
        <v>11.2</v>
      </c>
      <c r="Y48" s="66">
        <f t="shared" si="7"/>
        <v>12</v>
      </c>
      <c r="Z48" s="67">
        <f t="shared" si="8"/>
        <v>29</v>
      </c>
    </row>
    <row r="49" spans="1:26" ht="24.95" customHeight="1">
      <c r="A49" s="30">
        <v>37</v>
      </c>
      <c r="B49" s="30" t="s">
        <v>149</v>
      </c>
      <c r="C49" s="31" t="s">
        <v>150</v>
      </c>
      <c r="D49" s="71">
        <v>5</v>
      </c>
      <c r="E49" s="71">
        <v>5</v>
      </c>
      <c r="F49" s="71">
        <v>5</v>
      </c>
      <c r="G49" s="62">
        <f>SUM(LARGE(D49:F49,{1,2}))</f>
        <v>10</v>
      </c>
      <c r="H49" s="62">
        <f t="shared" si="0"/>
        <v>5</v>
      </c>
      <c r="I49" s="63">
        <f t="shared" si="1"/>
        <v>5</v>
      </c>
      <c r="J49" s="71">
        <v>25</v>
      </c>
      <c r="K49" s="78">
        <v>25</v>
      </c>
      <c r="L49" s="70">
        <v>25</v>
      </c>
      <c r="M49" s="79">
        <f>SUM(LARGE(J49:L49,{1,2}))</f>
        <v>50</v>
      </c>
      <c r="N49" s="62">
        <f t="shared" si="2"/>
        <v>5</v>
      </c>
      <c r="O49" s="63">
        <f t="shared" si="3"/>
        <v>5</v>
      </c>
      <c r="P49" s="63">
        <v>5</v>
      </c>
      <c r="Q49" s="68">
        <v>94</v>
      </c>
      <c r="R49" s="64">
        <f t="shared" si="4"/>
        <v>4</v>
      </c>
      <c r="S49" s="65">
        <f t="shared" si="5"/>
        <v>19</v>
      </c>
      <c r="T49" s="71">
        <v>88</v>
      </c>
      <c r="U49" s="71">
        <v>90</v>
      </c>
      <c r="V49" s="71">
        <v>78</v>
      </c>
      <c r="W49" s="62">
        <f>SUM(LARGE(T49:V49,{1,2}))</f>
        <v>178</v>
      </c>
      <c r="X49" s="62">
        <f t="shared" si="6"/>
        <v>17.8</v>
      </c>
      <c r="Y49" s="66">
        <f t="shared" si="7"/>
        <v>18</v>
      </c>
      <c r="Z49" s="67">
        <f t="shared" si="8"/>
        <v>37</v>
      </c>
    </row>
    <row r="50" spans="1:26" ht="24.95" customHeight="1">
      <c r="A50" s="30">
        <v>38</v>
      </c>
      <c r="B50" s="30" t="s">
        <v>151</v>
      </c>
      <c r="C50" s="31" t="s">
        <v>152</v>
      </c>
      <c r="D50" s="71">
        <v>5</v>
      </c>
      <c r="E50" s="71">
        <v>5</v>
      </c>
      <c r="F50" s="71">
        <v>5</v>
      </c>
      <c r="G50" s="62">
        <f>SUM(LARGE(D50:F50,{1,2}))</f>
        <v>10</v>
      </c>
      <c r="H50" s="62">
        <f t="shared" si="0"/>
        <v>5</v>
      </c>
      <c r="I50" s="63">
        <f t="shared" si="1"/>
        <v>5</v>
      </c>
      <c r="J50" s="71">
        <v>25</v>
      </c>
      <c r="K50" s="78">
        <v>25</v>
      </c>
      <c r="L50" s="70">
        <v>25</v>
      </c>
      <c r="M50" s="79">
        <f>SUM(LARGE(J50:L50,{1,2}))</f>
        <v>50</v>
      </c>
      <c r="N50" s="62">
        <f t="shared" si="2"/>
        <v>5</v>
      </c>
      <c r="O50" s="63">
        <f t="shared" si="3"/>
        <v>5</v>
      </c>
      <c r="P50" s="63">
        <v>5</v>
      </c>
      <c r="Q50" s="68">
        <v>87</v>
      </c>
      <c r="R50" s="64">
        <f t="shared" si="4"/>
        <v>3</v>
      </c>
      <c r="S50" s="65">
        <f t="shared" si="5"/>
        <v>18</v>
      </c>
      <c r="T50" s="71">
        <v>40</v>
      </c>
      <c r="U50" s="71">
        <v>76</v>
      </c>
      <c r="V50" s="71" t="s">
        <v>177</v>
      </c>
      <c r="W50" s="62">
        <f>SUM(LARGE(T50:V50,{1,2}))</f>
        <v>116</v>
      </c>
      <c r="X50" s="62">
        <f t="shared" si="6"/>
        <v>11.6</v>
      </c>
      <c r="Y50" s="66">
        <f t="shared" si="7"/>
        <v>12</v>
      </c>
      <c r="Z50" s="67">
        <f t="shared" si="8"/>
        <v>30</v>
      </c>
    </row>
    <row r="51" spans="1:26" ht="24.95" customHeight="1">
      <c r="A51" s="30">
        <v>39</v>
      </c>
      <c r="B51" s="30" t="s">
        <v>153</v>
      </c>
      <c r="C51" s="31" t="s">
        <v>154</v>
      </c>
      <c r="D51" s="71">
        <v>5</v>
      </c>
      <c r="E51" s="71">
        <v>5</v>
      </c>
      <c r="F51" s="71">
        <v>5</v>
      </c>
      <c r="G51" s="62">
        <f>SUM(LARGE(D51:F51,{1,2}))</f>
        <v>10</v>
      </c>
      <c r="H51" s="62">
        <f t="shared" si="0"/>
        <v>5</v>
      </c>
      <c r="I51" s="63">
        <f t="shared" si="1"/>
        <v>5</v>
      </c>
      <c r="J51" s="71">
        <v>25</v>
      </c>
      <c r="K51" s="78">
        <v>25</v>
      </c>
      <c r="L51" s="70">
        <v>25</v>
      </c>
      <c r="M51" s="79">
        <f>SUM(LARGE(J51:L51,{1,2}))</f>
        <v>50</v>
      </c>
      <c r="N51" s="62">
        <f t="shared" si="2"/>
        <v>5</v>
      </c>
      <c r="O51" s="63">
        <f t="shared" si="3"/>
        <v>5</v>
      </c>
      <c r="P51" s="63">
        <v>5</v>
      </c>
      <c r="Q51" s="68">
        <v>81</v>
      </c>
      <c r="R51" s="64">
        <f t="shared" si="4"/>
        <v>2</v>
      </c>
      <c r="S51" s="65">
        <f t="shared" si="5"/>
        <v>17</v>
      </c>
      <c r="T51" s="71">
        <v>60</v>
      </c>
      <c r="U51" s="71">
        <v>62</v>
      </c>
      <c r="V51" s="71">
        <v>40</v>
      </c>
      <c r="W51" s="62">
        <f>SUM(LARGE(T51:V51,{1,2}))</f>
        <v>122</v>
      </c>
      <c r="X51" s="62">
        <f t="shared" si="6"/>
        <v>12.2</v>
      </c>
      <c r="Y51" s="66">
        <f t="shared" si="7"/>
        <v>13</v>
      </c>
      <c r="Z51" s="67">
        <f t="shared" si="8"/>
        <v>30</v>
      </c>
    </row>
    <row r="52" spans="1:26" ht="24.95" customHeight="1">
      <c r="A52" s="30">
        <v>40</v>
      </c>
      <c r="B52" s="30" t="s">
        <v>155</v>
      </c>
      <c r="C52" s="31" t="s">
        <v>156</v>
      </c>
      <c r="D52" s="71">
        <v>5</v>
      </c>
      <c r="E52" s="71">
        <v>5</v>
      </c>
      <c r="F52" s="71">
        <v>5</v>
      </c>
      <c r="G52" s="62">
        <f>SUM(LARGE(D52:F52,{1,2}))</f>
        <v>10</v>
      </c>
      <c r="H52" s="62">
        <f t="shared" si="0"/>
        <v>5</v>
      </c>
      <c r="I52" s="63">
        <f t="shared" si="1"/>
        <v>5</v>
      </c>
      <c r="J52" s="71">
        <v>25</v>
      </c>
      <c r="K52" s="78">
        <v>25</v>
      </c>
      <c r="L52" s="70">
        <v>25</v>
      </c>
      <c r="M52" s="79">
        <f>SUM(LARGE(J52:L52,{1,2}))</f>
        <v>50</v>
      </c>
      <c r="N52" s="62">
        <f t="shared" si="2"/>
        <v>5</v>
      </c>
      <c r="O52" s="63">
        <f t="shared" si="3"/>
        <v>5</v>
      </c>
      <c r="P52" s="63">
        <v>5</v>
      </c>
      <c r="Q52" s="68">
        <v>88</v>
      </c>
      <c r="R52" s="64">
        <f t="shared" si="4"/>
        <v>3</v>
      </c>
      <c r="S52" s="65">
        <f t="shared" si="5"/>
        <v>18</v>
      </c>
      <c r="T52" s="71">
        <v>94</v>
      </c>
      <c r="U52" s="71">
        <v>62</v>
      </c>
      <c r="V52" s="71">
        <v>100</v>
      </c>
      <c r="W52" s="62">
        <f>SUM(LARGE(T52:V52,{1,2}))</f>
        <v>194</v>
      </c>
      <c r="X52" s="62">
        <f t="shared" si="6"/>
        <v>19.399999999999999</v>
      </c>
      <c r="Y52" s="66">
        <f t="shared" si="7"/>
        <v>20</v>
      </c>
      <c r="Z52" s="67">
        <f t="shared" si="8"/>
        <v>38</v>
      </c>
    </row>
    <row r="53" spans="1:26" ht="24.95" customHeight="1">
      <c r="A53" s="30">
        <v>41</v>
      </c>
      <c r="B53" s="30" t="s">
        <v>157</v>
      </c>
      <c r="C53" s="31" t="s">
        <v>158</v>
      </c>
      <c r="D53" s="71">
        <v>5</v>
      </c>
      <c r="E53" s="71">
        <v>5</v>
      </c>
      <c r="F53" s="71">
        <v>5</v>
      </c>
      <c r="G53" s="62">
        <f>SUM(LARGE(D53:F53,{1,2}))</f>
        <v>10</v>
      </c>
      <c r="H53" s="62">
        <f t="shared" si="0"/>
        <v>5</v>
      </c>
      <c r="I53" s="63">
        <f t="shared" si="1"/>
        <v>5</v>
      </c>
      <c r="J53" s="71">
        <v>25</v>
      </c>
      <c r="K53" s="78">
        <v>25</v>
      </c>
      <c r="L53" s="70">
        <v>25</v>
      </c>
      <c r="M53" s="79">
        <f>SUM(LARGE(J53:L53,{1,2}))</f>
        <v>50</v>
      </c>
      <c r="N53" s="62">
        <f t="shared" si="2"/>
        <v>5</v>
      </c>
      <c r="O53" s="63">
        <f t="shared" si="3"/>
        <v>5</v>
      </c>
      <c r="P53" s="63">
        <v>5</v>
      </c>
      <c r="Q53" s="68">
        <v>98</v>
      </c>
      <c r="R53" s="64">
        <f t="shared" si="4"/>
        <v>5</v>
      </c>
      <c r="S53" s="65">
        <f t="shared" si="5"/>
        <v>20</v>
      </c>
      <c r="T53" s="71">
        <v>66</v>
      </c>
      <c r="U53" s="71">
        <v>52</v>
      </c>
      <c r="V53" s="71">
        <v>45</v>
      </c>
      <c r="W53" s="62">
        <f>SUM(LARGE(T53:V53,{1,2}))</f>
        <v>118</v>
      </c>
      <c r="X53" s="62">
        <f t="shared" si="6"/>
        <v>11.8</v>
      </c>
      <c r="Y53" s="66">
        <f t="shared" si="7"/>
        <v>12</v>
      </c>
      <c r="Z53" s="67">
        <f t="shared" si="8"/>
        <v>32</v>
      </c>
    </row>
    <row r="54" spans="1:26" ht="24.95" customHeight="1">
      <c r="A54" s="30">
        <v>42</v>
      </c>
      <c r="B54" s="30" t="s">
        <v>159</v>
      </c>
      <c r="C54" s="31" t="s">
        <v>160</v>
      </c>
      <c r="D54" s="71">
        <v>5</v>
      </c>
      <c r="E54" s="71">
        <v>5</v>
      </c>
      <c r="F54" s="71">
        <v>5</v>
      </c>
      <c r="G54" s="62">
        <f>SUM(LARGE(D54:F54,{1,2}))</f>
        <v>10</v>
      </c>
      <c r="H54" s="62">
        <f t="shared" si="0"/>
        <v>5</v>
      </c>
      <c r="I54" s="63">
        <f t="shared" si="1"/>
        <v>5</v>
      </c>
      <c r="J54" s="71">
        <v>25</v>
      </c>
      <c r="K54" s="78">
        <v>25</v>
      </c>
      <c r="L54" s="70">
        <v>25</v>
      </c>
      <c r="M54" s="79">
        <f>SUM(LARGE(J54:L54,{1,2}))</f>
        <v>50</v>
      </c>
      <c r="N54" s="62">
        <f t="shared" si="2"/>
        <v>5</v>
      </c>
      <c r="O54" s="63">
        <f t="shared" si="3"/>
        <v>5</v>
      </c>
      <c r="P54" s="63">
        <v>5</v>
      </c>
      <c r="Q54" s="74">
        <v>76</v>
      </c>
      <c r="R54" s="64">
        <f t="shared" si="4"/>
        <v>1</v>
      </c>
      <c r="S54" s="65">
        <f t="shared" si="5"/>
        <v>16</v>
      </c>
      <c r="T54" s="71">
        <v>42</v>
      </c>
      <c r="U54" s="71">
        <v>42</v>
      </c>
      <c r="V54" s="71">
        <v>53</v>
      </c>
      <c r="W54" s="62">
        <f>SUM(LARGE(T54:V54,{1,2}))</f>
        <v>95</v>
      </c>
      <c r="X54" s="62">
        <f t="shared" si="6"/>
        <v>9.5</v>
      </c>
      <c r="Y54" s="66">
        <f t="shared" si="7"/>
        <v>10</v>
      </c>
      <c r="Z54" s="67">
        <f t="shared" si="8"/>
        <v>26</v>
      </c>
    </row>
    <row r="55" spans="1:26" ht="24.95" customHeight="1">
      <c r="A55" s="30">
        <v>43</v>
      </c>
      <c r="B55" s="30" t="s">
        <v>161</v>
      </c>
      <c r="C55" s="31" t="s">
        <v>162</v>
      </c>
      <c r="D55" s="71">
        <v>5</v>
      </c>
      <c r="E55" s="71">
        <v>5</v>
      </c>
      <c r="F55" s="71">
        <v>5</v>
      </c>
      <c r="G55" s="62">
        <f>SUM(LARGE(D55:F55,{1,2}))</f>
        <v>10</v>
      </c>
      <c r="H55" s="62">
        <f t="shared" si="0"/>
        <v>5</v>
      </c>
      <c r="I55" s="63">
        <f t="shared" si="1"/>
        <v>5</v>
      </c>
      <c r="J55" s="71">
        <v>25</v>
      </c>
      <c r="K55" s="78">
        <v>25</v>
      </c>
      <c r="L55" s="70">
        <v>25</v>
      </c>
      <c r="M55" s="79">
        <f>SUM(LARGE(J55:L55,{1,2}))</f>
        <v>50</v>
      </c>
      <c r="N55" s="62">
        <f t="shared" si="2"/>
        <v>5</v>
      </c>
      <c r="O55" s="63">
        <f t="shared" si="3"/>
        <v>5</v>
      </c>
      <c r="P55" s="63">
        <v>5</v>
      </c>
      <c r="Q55" s="68">
        <v>88</v>
      </c>
      <c r="R55" s="64">
        <f t="shared" si="4"/>
        <v>3</v>
      </c>
      <c r="S55" s="65">
        <f t="shared" si="5"/>
        <v>18</v>
      </c>
      <c r="T55" s="71">
        <v>44</v>
      </c>
      <c r="U55" s="71">
        <v>44</v>
      </c>
      <c r="V55" s="71">
        <v>68</v>
      </c>
      <c r="W55" s="62">
        <f>SUM(LARGE(T55:V55,{1,2}))</f>
        <v>112</v>
      </c>
      <c r="X55" s="62">
        <f t="shared" si="6"/>
        <v>11.2</v>
      </c>
      <c r="Y55" s="66">
        <f t="shared" si="7"/>
        <v>12</v>
      </c>
      <c r="Z55" s="67">
        <f t="shared" si="8"/>
        <v>30</v>
      </c>
    </row>
    <row r="56" spans="1:26" ht="24.95" customHeight="1">
      <c r="A56" s="30">
        <v>44</v>
      </c>
      <c r="B56" s="30" t="s">
        <v>163</v>
      </c>
      <c r="C56" s="31" t="s">
        <v>164</v>
      </c>
      <c r="D56" s="71">
        <v>5</v>
      </c>
      <c r="E56" s="71">
        <v>5</v>
      </c>
      <c r="F56" s="71">
        <v>5</v>
      </c>
      <c r="G56" s="62">
        <f>SUM(LARGE(D56:F56,{1,2}))</f>
        <v>10</v>
      </c>
      <c r="H56" s="62">
        <f t="shared" si="0"/>
        <v>5</v>
      </c>
      <c r="I56" s="63">
        <f t="shared" si="1"/>
        <v>5</v>
      </c>
      <c r="J56" s="71">
        <v>25</v>
      </c>
      <c r="K56" s="78">
        <v>25</v>
      </c>
      <c r="L56" s="70">
        <v>25</v>
      </c>
      <c r="M56" s="79">
        <f>SUM(LARGE(J56:L56,{1,2}))</f>
        <v>50</v>
      </c>
      <c r="N56" s="62">
        <f t="shared" si="2"/>
        <v>5</v>
      </c>
      <c r="O56" s="63">
        <f t="shared" si="3"/>
        <v>5</v>
      </c>
      <c r="P56" s="63">
        <v>5</v>
      </c>
      <c r="Q56" s="68">
        <v>87</v>
      </c>
      <c r="R56" s="64">
        <f t="shared" si="4"/>
        <v>3</v>
      </c>
      <c r="S56" s="65">
        <f t="shared" si="5"/>
        <v>18</v>
      </c>
      <c r="T56" s="71">
        <v>40</v>
      </c>
      <c r="U56" s="71">
        <v>48</v>
      </c>
      <c r="V56" s="71">
        <v>23</v>
      </c>
      <c r="W56" s="62">
        <f>SUM(LARGE(T56:V56,{1,2}))</f>
        <v>88</v>
      </c>
      <c r="X56" s="62">
        <f t="shared" si="6"/>
        <v>8.8000000000000007</v>
      </c>
      <c r="Y56" s="66">
        <f t="shared" si="7"/>
        <v>9</v>
      </c>
      <c r="Z56" s="67">
        <f t="shared" si="8"/>
        <v>27</v>
      </c>
    </row>
    <row r="57" spans="1:26" ht="24.95" customHeight="1">
      <c r="A57" s="30">
        <v>45</v>
      </c>
      <c r="B57" s="30" t="s">
        <v>165</v>
      </c>
      <c r="C57" s="31" t="s">
        <v>166</v>
      </c>
      <c r="D57" s="71">
        <v>5</v>
      </c>
      <c r="E57" s="71">
        <v>5</v>
      </c>
      <c r="F57" s="71">
        <v>5</v>
      </c>
      <c r="G57" s="62">
        <f>SUM(LARGE(D57:F57,{1,2}))</f>
        <v>10</v>
      </c>
      <c r="H57" s="62">
        <f t="shared" si="0"/>
        <v>5</v>
      </c>
      <c r="I57" s="63">
        <f t="shared" si="1"/>
        <v>5</v>
      </c>
      <c r="J57" s="71">
        <v>25</v>
      </c>
      <c r="K57" s="78">
        <v>25</v>
      </c>
      <c r="L57" s="70">
        <v>25</v>
      </c>
      <c r="M57" s="79">
        <f>SUM(LARGE(J57:L57,{1,2}))</f>
        <v>50</v>
      </c>
      <c r="N57" s="62">
        <f t="shared" si="2"/>
        <v>5</v>
      </c>
      <c r="O57" s="63">
        <f t="shared" si="3"/>
        <v>5</v>
      </c>
      <c r="P57" s="63">
        <v>5</v>
      </c>
      <c r="Q57" s="68">
        <v>82</v>
      </c>
      <c r="R57" s="64">
        <f t="shared" si="4"/>
        <v>2</v>
      </c>
      <c r="S57" s="65">
        <f t="shared" si="5"/>
        <v>17</v>
      </c>
      <c r="T57" s="71">
        <v>44</v>
      </c>
      <c r="U57" s="71">
        <v>90</v>
      </c>
      <c r="V57" s="71">
        <v>20</v>
      </c>
      <c r="W57" s="62">
        <f>SUM(LARGE(T57:V57,{1,2}))</f>
        <v>134</v>
      </c>
      <c r="X57" s="62">
        <f t="shared" si="6"/>
        <v>13.4</v>
      </c>
      <c r="Y57" s="66">
        <f t="shared" si="7"/>
        <v>14</v>
      </c>
      <c r="Z57" s="67">
        <f t="shared" si="8"/>
        <v>31</v>
      </c>
    </row>
    <row r="58" spans="1:26" ht="24.95" customHeight="1">
      <c r="A58" s="30">
        <v>46</v>
      </c>
      <c r="B58" s="30" t="s">
        <v>167</v>
      </c>
      <c r="C58" s="31" t="s">
        <v>168</v>
      </c>
      <c r="D58" s="71">
        <v>5</v>
      </c>
      <c r="E58" s="71">
        <v>5</v>
      </c>
      <c r="F58" s="71">
        <v>5</v>
      </c>
      <c r="G58" s="62">
        <f>SUM(LARGE(D58:F58,{1,2}))</f>
        <v>10</v>
      </c>
      <c r="H58" s="62">
        <f t="shared" si="0"/>
        <v>5</v>
      </c>
      <c r="I58" s="63">
        <f t="shared" si="1"/>
        <v>5</v>
      </c>
      <c r="J58" s="71">
        <v>25</v>
      </c>
      <c r="K58" s="78">
        <v>25</v>
      </c>
      <c r="L58" s="70">
        <v>25</v>
      </c>
      <c r="M58" s="79">
        <f>SUM(LARGE(J58:L58,{1,2}))</f>
        <v>50</v>
      </c>
      <c r="N58" s="62">
        <f t="shared" si="2"/>
        <v>5</v>
      </c>
      <c r="O58" s="63">
        <f t="shared" si="3"/>
        <v>5</v>
      </c>
      <c r="P58" s="63">
        <v>5</v>
      </c>
      <c r="Q58" s="68">
        <v>88</v>
      </c>
      <c r="R58" s="64">
        <f t="shared" si="4"/>
        <v>3</v>
      </c>
      <c r="S58" s="65">
        <f t="shared" si="5"/>
        <v>18</v>
      </c>
      <c r="T58" s="71">
        <v>40</v>
      </c>
      <c r="U58" s="71">
        <v>52</v>
      </c>
      <c r="V58" s="71">
        <v>55</v>
      </c>
      <c r="W58" s="62">
        <f>SUM(LARGE(T58:V58,{1,2}))</f>
        <v>107</v>
      </c>
      <c r="X58" s="62">
        <f t="shared" si="6"/>
        <v>10.7</v>
      </c>
      <c r="Y58" s="66">
        <f t="shared" si="7"/>
        <v>11</v>
      </c>
      <c r="Z58" s="67">
        <f t="shared" si="8"/>
        <v>29</v>
      </c>
    </row>
    <row r="59" spans="1:26" ht="24.95" customHeight="1">
      <c r="A59" s="30">
        <v>47</v>
      </c>
      <c r="B59" s="30" t="s">
        <v>169</v>
      </c>
      <c r="C59" s="31" t="s">
        <v>170</v>
      </c>
      <c r="D59" s="71">
        <v>5</v>
      </c>
      <c r="E59" s="71">
        <v>5</v>
      </c>
      <c r="F59" s="71">
        <v>5</v>
      </c>
      <c r="G59" s="62">
        <f>SUM(LARGE(D59:F59,{1,2}))</f>
        <v>10</v>
      </c>
      <c r="H59" s="62">
        <f t="shared" si="0"/>
        <v>5</v>
      </c>
      <c r="I59" s="63">
        <f t="shared" si="1"/>
        <v>5</v>
      </c>
      <c r="J59" s="71">
        <v>25</v>
      </c>
      <c r="K59" s="78">
        <v>25</v>
      </c>
      <c r="L59" s="70">
        <v>25</v>
      </c>
      <c r="M59" s="79">
        <f>SUM(LARGE(J59:L59,{1,2}))</f>
        <v>50</v>
      </c>
      <c r="N59" s="62">
        <f t="shared" si="2"/>
        <v>5</v>
      </c>
      <c r="O59" s="63">
        <f t="shared" si="3"/>
        <v>5</v>
      </c>
      <c r="P59" s="63">
        <v>5</v>
      </c>
      <c r="Q59" s="74">
        <v>76</v>
      </c>
      <c r="R59" s="64">
        <f t="shared" si="4"/>
        <v>1</v>
      </c>
      <c r="S59" s="65">
        <f t="shared" si="5"/>
        <v>16</v>
      </c>
      <c r="T59" s="71">
        <v>50</v>
      </c>
      <c r="U59" s="71">
        <v>60</v>
      </c>
      <c r="V59" s="71">
        <v>48</v>
      </c>
      <c r="W59" s="62">
        <f>SUM(LARGE(T59:V59,{1,2}))</f>
        <v>110</v>
      </c>
      <c r="X59" s="62">
        <f t="shared" si="6"/>
        <v>11</v>
      </c>
      <c r="Y59" s="66">
        <f t="shared" si="7"/>
        <v>11</v>
      </c>
      <c r="Z59" s="67">
        <f t="shared" si="8"/>
        <v>27</v>
      </c>
    </row>
    <row r="60" spans="1:26" ht="24.95" customHeight="1">
      <c r="A60" s="30">
        <v>48</v>
      </c>
      <c r="B60" s="30" t="s">
        <v>171</v>
      </c>
      <c r="C60" s="31" t="s">
        <v>172</v>
      </c>
      <c r="D60" s="71">
        <v>5</v>
      </c>
      <c r="E60" s="71">
        <v>5</v>
      </c>
      <c r="F60" s="71">
        <v>5</v>
      </c>
      <c r="G60" s="62">
        <f>SUM(LARGE(D60:F60,{1,2}))</f>
        <v>10</v>
      </c>
      <c r="H60" s="62">
        <f t="shared" si="0"/>
        <v>5</v>
      </c>
      <c r="I60" s="63">
        <f t="shared" si="1"/>
        <v>5</v>
      </c>
      <c r="J60" s="71">
        <v>25</v>
      </c>
      <c r="K60" s="78">
        <v>25</v>
      </c>
      <c r="L60" s="70">
        <v>25</v>
      </c>
      <c r="M60" s="79">
        <f>SUM(LARGE(J60:L60,{1,2}))</f>
        <v>50</v>
      </c>
      <c r="N60" s="62">
        <f t="shared" si="2"/>
        <v>5</v>
      </c>
      <c r="O60" s="63">
        <f t="shared" si="3"/>
        <v>5</v>
      </c>
      <c r="P60" s="63">
        <v>5</v>
      </c>
      <c r="Q60" s="68">
        <v>79</v>
      </c>
      <c r="R60" s="64">
        <f t="shared" si="4"/>
        <v>1</v>
      </c>
      <c r="S60" s="65">
        <f t="shared" si="5"/>
        <v>16</v>
      </c>
      <c r="T60" s="71">
        <v>52</v>
      </c>
      <c r="U60" s="71">
        <v>57.999999999999993</v>
      </c>
      <c r="V60" s="71">
        <v>53</v>
      </c>
      <c r="W60" s="62">
        <f>SUM(LARGE(T60:V60,{1,2}))</f>
        <v>111</v>
      </c>
      <c r="X60" s="62">
        <f t="shared" si="6"/>
        <v>11.1</v>
      </c>
      <c r="Y60" s="66">
        <f t="shared" si="7"/>
        <v>12</v>
      </c>
      <c r="Z60" s="67">
        <f t="shared" si="8"/>
        <v>28</v>
      </c>
    </row>
    <row r="61" spans="1:26" ht="24.95" customHeight="1">
      <c r="A61" s="30">
        <v>49</v>
      </c>
      <c r="B61" s="30" t="s">
        <v>173</v>
      </c>
      <c r="C61" s="35" t="s">
        <v>176</v>
      </c>
      <c r="D61" s="71">
        <v>5</v>
      </c>
      <c r="E61" s="71">
        <v>5</v>
      </c>
      <c r="F61" s="71">
        <v>5</v>
      </c>
      <c r="G61" s="62">
        <f>SUM(LARGE(D61:F61,{1,2}))</f>
        <v>10</v>
      </c>
      <c r="H61" s="62">
        <f t="shared" si="0"/>
        <v>5</v>
      </c>
      <c r="I61" s="63">
        <f t="shared" si="1"/>
        <v>5</v>
      </c>
      <c r="J61" s="71">
        <v>25</v>
      </c>
      <c r="K61" s="78">
        <v>25</v>
      </c>
      <c r="L61" s="70">
        <v>25</v>
      </c>
      <c r="M61" s="79">
        <f>SUM(LARGE(J61:L61,{1,2}))</f>
        <v>50</v>
      </c>
      <c r="N61" s="62">
        <f t="shared" si="2"/>
        <v>5</v>
      </c>
      <c r="O61" s="63">
        <f t="shared" si="3"/>
        <v>5</v>
      </c>
      <c r="P61" s="63">
        <v>5</v>
      </c>
      <c r="Q61" s="68">
        <v>90</v>
      </c>
      <c r="R61" s="64">
        <f t="shared" si="4"/>
        <v>4</v>
      </c>
      <c r="S61" s="65">
        <f t="shared" si="5"/>
        <v>19</v>
      </c>
      <c r="T61" s="71">
        <v>42</v>
      </c>
      <c r="U61" s="71">
        <v>42</v>
      </c>
      <c r="V61" s="71">
        <v>55</v>
      </c>
      <c r="W61" s="62">
        <f>SUM(LARGE(T61:V61,{1,2}))</f>
        <v>97</v>
      </c>
      <c r="X61" s="62">
        <f t="shared" si="6"/>
        <v>9.6999999999999993</v>
      </c>
      <c r="Y61" s="66">
        <f t="shared" si="7"/>
        <v>10</v>
      </c>
      <c r="Z61" s="67">
        <f t="shared" si="8"/>
        <v>29</v>
      </c>
    </row>
    <row r="62" spans="1:26" ht="24.95" customHeight="1">
      <c r="A62" s="30">
        <v>50</v>
      </c>
      <c r="B62" s="30" t="s">
        <v>174</v>
      </c>
      <c r="C62" s="31" t="s">
        <v>175</v>
      </c>
      <c r="D62" s="71">
        <v>5</v>
      </c>
      <c r="E62" s="71">
        <v>5</v>
      </c>
      <c r="F62" s="71">
        <v>5</v>
      </c>
      <c r="G62" s="62">
        <f>SUM(LARGE(D62:F62,{1,2}))</f>
        <v>10</v>
      </c>
      <c r="H62" s="62">
        <f t="shared" si="0"/>
        <v>5</v>
      </c>
      <c r="I62" s="63">
        <f t="shared" si="1"/>
        <v>5</v>
      </c>
      <c r="J62" s="71">
        <v>25</v>
      </c>
      <c r="K62" s="78">
        <v>25</v>
      </c>
      <c r="L62" s="70">
        <v>25</v>
      </c>
      <c r="M62" s="79">
        <f>SUM(LARGE(J62:L62,{1,2}))</f>
        <v>50</v>
      </c>
      <c r="N62" s="62">
        <f t="shared" si="2"/>
        <v>5</v>
      </c>
      <c r="O62" s="63">
        <f t="shared" si="3"/>
        <v>5</v>
      </c>
      <c r="P62" s="63">
        <v>5</v>
      </c>
      <c r="Q62" s="68">
        <v>82</v>
      </c>
      <c r="R62" s="64">
        <f t="shared" si="4"/>
        <v>2</v>
      </c>
      <c r="S62" s="65">
        <f t="shared" si="5"/>
        <v>17</v>
      </c>
      <c r="T62" s="71">
        <v>40</v>
      </c>
      <c r="U62" s="71">
        <v>60</v>
      </c>
      <c r="V62" s="71">
        <v>65</v>
      </c>
      <c r="W62" s="62">
        <f>SUM(LARGE(T62:V62,{1,2}))</f>
        <v>125</v>
      </c>
      <c r="X62" s="62">
        <f t="shared" si="6"/>
        <v>12.5</v>
      </c>
      <c r="Y62" s="66">
        <f t="shared" si="7"/>
        <v>13</v>
      </c>
      <c r="Z62" s="67">
        <f t="shared" si="8"/>
        <v>30</v>
      </c>
    </row>
    <row r="64" spans="1:26" ht="18.75">
      <c r="Z64" s="36"/>
    </row>
    <row r="66" spans="2:23" ht="15.75">
      <c r="B66" s="9" t="s">
        <v>36</v>
      </c>
      <c r="C66" s="10"/>
      <c r="L66" s="15"/>
      <c r="M66" s="9" t="s">
        <v>37</v>
      </c>
      <c r="N66" s="15"/>
      <c r="O66" s="15"/>
      <c r="Q66" s="16"/>
      <c r="W66" s="9" t="s">
        <v>38</v>
      </c>
    </row>
    <row r="67" spans="2:23" ht="15.75">
      <c r="B67" s="11" t="s">
        <v>39</v>
      </c>
      <c r="C67" s="10"/>
      <c r="L67" s="10"/>
      <c r="M67" s="11" t="s">
        <v>40</v>
      </c>
      <c r="N67" s="10"/>
      <c r="O67" s="10"/>
      <c r="Q67" s="16"/>
      <c r="W67" s="11" t="s">
        <v>41</v>
      </c>
    </row>
  </sheetData>
  <mergeCells count="19">
    <mergeCell ref="T9:Z9"/>
    <mergeCell ref="D11:I11"/>
    <mergeCell ref="J11:P11"/>
    <mergeCell ref="Q11:R11"/>
    <mergeCell ref="T11:Y11"/>
    <mergeCell ref="R9:S9"/>
    <mergeCell ref="A9:B9"/>
    <mergeCell ref="D9:G9"/>
    <mergeCell ref="H9:J9"/>
    <mergeCell ref="K9:L9"/>
    <mergeCell ref="M9:Q9"/>
    <mergeCell ref="A6:Z6"/>
    <mergeCell ref="A8:B8"/>
    <mergeCell ref="D8:G8"/>
    <mergeCell ref="H8:J8"/>
    <mergeCell ref="K8:L8"/>
    <mergeCell ref="M8:Q8"/>
    <mergeCell ref="R8:S8"/>
    <mergeCell ref="T8:Z8"/>
  </mergeCells>
  <conditionalFormatting sqref="Z13:Z62 Z64">
    <cfRule type="cellIs" dxfId="1" priority="1" operator="lessThan">
      <formula>24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Width="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D11" sqref="D11"/>
    </sheetView>
  </sheetViews>
  <sheetFormatPr defaultColWidth="9" defaultRowHeight="15"/>
  <cols>
    <col min="1" max="1" width="7.28515625" customWidth="1"/>
    <col min="2" max="2" width="25.7109375" customWidth="1"/>
    <col min="3" max="3" width="25" customWidth="1"/>
    <col min="4" max="4" width="9.28515625" customWidth="1"/>
    <col min="5" max="5" width="9.42578125" customWidth="1"/>
    <col min="6" max="6" width="11" customWidth="1"/>
    <col min="7" max="7" width="12" customWidth="1"/>
    <col min="8" max="8" width="11.42578125" customWidth="1"/>
    <col min="9" max="9" width="12.28515625" customWidth="1"/>
    <col min="10" max="11" width="12.140625" customWidth="1"/>
  </cols>
  <sheetData>
    <row r="1" spans="1:11">
      <c r="D1" s="13"/>
      <c r="E1" s="13"/>
      <c r="F1" s="13"/>
      <c r="G1" s="13"/>
    </row>
    <row r="2" spans="1:11">
      <c r="D2" s="13"/>
      <c r="E2" s="13"/>
      <c r="F2" s="13"/>
      <c r="G2" s="13"/>
    </row>
    <row r="3" spans="1:11">
      <c r="D3" s="13"/>
      <c r="E3" s="13"/>
      <c r="F3" s="13"/>
      <c r="G3" s="13"/>
    </row>
    <row r="4" spans="1:11">
      <c r="D4" s="13"/>
      <c r="E4" s="13"/>
      <c r="F4" s="13"/>
      <c r="G4" s="13"/>
    </row>
    <row r="5" spans="1:11">
      <c r="G5" s="13"/>
    </row>
    <row r="6" spans="1:11" ht="15.75">
      <c r="A6" s="84" t="s">
        <v>0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</row>
    <row r="7" spans="1:11" ht="15.7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1" ht="15.75">
      <c r="A8" s="107" t="s">
        <v>62</v>
      </c>
      <c r="B8" s="106"/>
      <c r="C8" s="108"/>
      <c r="D8" s="109" t="s">
        <v>183</v>
      </c>
      <c r="E8" s="106"/>
      <c r="F8" s="106"/>
      <c r="G8" s="106"/>
      <c r="H8" s="108"/>
      <c r="I8" s="109" t="s">
        <v>42</v>
      </c>
      <c r="J8" s="106"/>
      <c r="K8" s="106"/>
    </row>
    <row r="9" spans="1:11" ht="15.75">
      <c r="A9" s="107" t="s">
        <v>185</v>
      </c>
      <c r="B9" s="106"/>
      <c r="C9" s="108"/>
      <c r="D9" s="109" t="s">
        <v>184</v>
      </c>
      <c r="E9" s="106"/>
      <c r="F9" s="106"/>
      <c r="G9" s="106"/>
      <c r="H9" s="108"/>
      <c r="I9" s="109" t="s">
        <v>43</v>
      </c>
      <c r="J9" s="106"/>
      <c r="K9" s="106"/>
    </row>
    <row r="10" spans="1:11">
      <c r="A10" s="22"/>
      <c r="B10" s="22"/>
      <c r="C10" s="22"/>
      <c r="D10" s="23"/>
      <c r="E10" s="22"/>
      <c r="F10" s="22"/>
      <c r="G10" s="22"/>
    </row>
    <row r="11" spans="1:11" ht="123.75" customHeight="1">
      <c r="A11" s="103" t="s">
        <v>44</v>
      </c>
      <c r="B11" s="105" t="s">
        <v>45</v>
      </c>
      <c r="C11" s="105" t="s">
        <v>46</v>
      </c>
      <c r="D11" s="32" t="s">
        <v>64</v>
      </c>
      <c r="E11" s="32" t="s">
        <v>65</v>
      </c>
      <c r="F11" s="33" t="s">
        <v>66</v>
      </c>
      <c r="G11" s="32" t="s">
        <v>67</v>
      </c>
      <c r="H11" s="32" t="s">
        <v>68</v>
      </c>
      <c r="I11" s="32" t="s">
        <v>69</v>
      </c>
      <c r="J11" s="33" t="s">
        <v>70</v>
      </c>
      <c r="K11" s="32" t="s">
        <v>71</v>
      </c>
    </row>
    <row r="12" spans="1:11" ht="21" customHeight="1">
      <c r="A12" s="104"/>
      <c r="B12" s="104"/>
      <c r="C12" s="104"/>
      <c r="D12" s="28" t="s">
        <v>47</v>
      </c>
      <c r="E12" s="28" t="s">
        <v>47</v>
      </c>
      <c r="F12" s="28" t="s">
        <v>47</v>
      </c>
      <c r="G12" s="28" t="s">
        <v>47</v>
      </c>
      <c r="H12" s="28" t="s">
        <v>48</v>
      </c>
      <c r="I12" s="28" t="s">
        <v>48</v>
      </c>
      <c r="J12" s="28" t="s">
        <v>48</v>
      </c>
      <c r="K12" s="28" t="s">
        <v>49</v>
      </c>
    </row>
    <row r="13" spans="1:11" ht="21" customHeight="1">
      <c r="A13" s="7">
        <v>1</v>
      </c>
      <c r="B13" s="30" t="s">
        <v>56</v>
      </c>
      <c r="C13" s="31" t="s">
        <v>57</v>
      </c>
      <c r="D13" s="8">
        <v>34</v>
      </c>
      <c r="E13" s="24">
        <v>36</v>
      </c>
      <c r="F13" s="24">
        <v>36</v>
      </c>
      <c r="G13" s="24">
        <v>32</v>
      </c>
      <c r="H13" s="24">
        <v>46</v>
      </c>
      <c r="I13" s="8">
        <v>47</v>
      </c>
      <c r="J13" s="8">
        <v>48</v>
      </c>
      <c r="K13" s="8">
        <v>98</v>
      </c>
    </row>
    <row r="14" spans="1:11" ht="21" customHeight="1">
      <c r="A14" s="7">
        <v>2</v>
      </c>
      <c r="B14" s="30" t="s">
        <v>58</v>
      </c>
      <c r="C14" s="31" t="s">
        <v>59</v>
      </c>
      <c r="D14" s="8">
        <v>30</v>
      </c>
      <c r="E14" s="24">
        <v>34</v>
      </c>
      <c r="F14" s="24">
        <v>34</v>
      </c>
      <c r="G14" s="24">
        <v>33</v>
      </c>
      <c r="H14" s="24">
        <v>46</v>
      </c>
      <c r="I14" s="8">
        <v>46</v>
      </c>
      <c r="J14" s="8">
        <v>46</v>
      </c>
      <c r="K14" s="8">
        <v>91</v>
      </c>
    </row>
    <row r="15" spans="1:11" ht="21" customHeight="1">
      <c r="A15" s="7">
        <v>3</v>
      </c>
      <c r="B15" s="30" t="s">
        <v>60</v>
      </c>
      <c r="C15" s="31" t="s">
        <v>61</v>
      </c>
      <c r="D15" s="8">
        <v>28</v>
      </c>
      <c r="E15" s="24">
        <v>29</v>
      </c>
      <c r="F15" s="24">
        <v>29</v>
      </c>
      <c r="G15" s="24">
        <v>31</v>
      </c>
      <c r="H15" s="24">
        <v>44</v>
      </c>
      <c r="I15" s="8">
        <v>45</v>
      </c>
      <c r="J15" s="8">
        <v>44</v>
      </c>
      <c r="K15" s="8">
        <v>91</v>
      </c>
    </row>
    <row r="16" spans="1:11">
      <c r="D16" s="13"/>
      <c r="E16" s="13"/>
      <c r="F16" s="13"/>
      <c r="G16" s="13"/>
    </row>
    <row r="17" spans="2:10">
      <c r="D17" s="13"/>
      <c r="E17" s="13"/>
      <c r="F17" s="13"/>
      <c r="G17" s="13"/>
    </row>
    <row r="18" spans="2:10">
      <c r="D18" s="13"/>
      <c r="E18" s="13"/>
      <c r="F18" s="13"/>
      <c r="G18" s="13"/>
    </row>
    <row r="19" spans="2:10">
      <c r="D19" s="13"/>
      <c r="E19" s="13"/>
      <c r="F19" s="13"/>
      <c r="G19" s="13"/>
    </row>
    <row r="20" spans="2:10">
      <c r="D20" s="13"/>
      <c r="E20" s="13"/>
      <c r="F20" s="13"/>
      <c r="G20" s="13"/>
    </row>
    <row r="21" spans="2:10" ht="15.75">
      <c r="B21" s="11" t="s">
        <v>36</v>
      </c>
      <c r="C21" s="25"/>
      <c r="D21" s="13"/>
      <c r="E21" s="25" t="s">
        <v>37</v>
      </c>
      <c r="I21" s="27"/>
      <c r="J21" s="25" t="s">
        <v>38</v>
      </c>
    </row>
    <row r="22" spans="2:10" ht="15.75">
      <c r="B22" s="9" t="s">
        <v>39</v>
      </c>
      <c r="C22" s="26"/>
      <c r="D22" s="13"/>
      <c r="E22" s="9" t="s">
        <v>40</v>
      </c>
      <c r="J22" s="9" t="s">
        <v>50</v>
      </c>
    </row>
    <row r="23" spans="2:10" ht="15.75">
      <c r="B23" s="9" t="s">
        <v>51</v>
      </c>
      <c r="C23" s="26"/>
      <c r="D23" s="13"/>
      <c r="E23" s="9" t="s">
        <v>51</v>
      </c>
      <c r="J23" s="9" t="s">
        <v>51</v>
      </c>
    </row>
  </sheetData>
  <mergeCells count="10">
    <mergeCell ref="A11:A12"/>
    <mergeCell ref="B11:B12"/>
    <mergeCell ref="C11:C12"/>
    <mergeCell ref="A6:K6"/>
    <mergeCell ref="A8:C8"/>
    <mergeCell ref="D8:H8"/>
    <mergeCell ref="I8:K8"/>
    <mergeCell ref="A9:C9"/>
    <mergeCell ref="D9:H9"/>
    <mergeCell ref="I9:K9"/>
  </mergeCells>
  <pageMargins left="0.7" right="0.7" top="0.75" bottom="0.75" header="0.3" footer="0.3"/>
  <pageSetup paperSize="9" scale="8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65"/>
  <sheetViews>
    <sheetView topLeftCell="A48" workbookViewId="0">
      <selection activeCell="H64" sqref="H64:H65"/>
    </sheetView>
  </sheetViews>
  <sheetFormatPr defaultColWidth="9" defaultRowHeight="15"/>
  <cols>
    <col min="1" max="1" width="6.28515625" customWidth="1"/>
    <col min="2" max="2" width="28.85546875" customWidth="1"/>
    <col min="3" max="3" width="36" customWidth="1"/>
    <col min="4" max="4" width="17.5703125" customWidth="1"/>
    <col min="5" max="5" width="16.7109375" customWidth="1"/>
    <col min="6" max="6" width="19.140625" customWidth="1"/>
    <col min="7" max="7" width="18.85546875" customWidth="1"/>
    <col min="8" max="8" width="24.28515625" customWidth="1"/>
  </cols>
  <sheetData>
    <row r="6" spans="1:8" ht="15.75">
      <c r="A6" s="84" t="s">
        <v>0</v>
      </c>
      <c r="B6" s="85"/>
      <c r="C6" s="85"/>
      <c r="D6" s="85"/>
      <c r="E6" s="85"/>
      <c r="F6" s="85"/>
      <c r="G6" s="85"/>
      <c r="H6" s="85"/>
    </row>
    <row r="7" spans="1:8">
      <c r="A7" s="1"/>
      <c r="B7" s="1"/>
      <c r="C7" s="1"/>
      <c r="D7" s="1"/>
      <c r="E7" s="1"/>
      <c r="F7" s="1"/>
      <c r="G7" s="1"/>
      <c r="H7" s="1"/>
    </row>
    <row r="8" spans="1:8" ht="15.75">
      <c r="A8" s="110" t="s">
        <v>63</v>
      </c>
      <c r="B8" s="111"/>
      <c r="C8" s="52" t="s">
        <v>201</v>
      </c>
      <c r="D8" s="111" t="s">
        <v>52</v>
      </c>
      <c r="E8" s="111"/>
      <c r="F8" s="111"/>
      <c r="G8" s="110" t="s">
        <v>203</v>
      </c>
      <c r="H8" s="111"/>
    </row>
    <row r="9" spans="1:8" ht="15.75">
      <c r="A9" s="110" t="s">
        <v>200</v>
      </c>
      <c r="B9" s="111"/>
      <c r="C9" s="52" t="s">
        <v>202</v>
      </c>
      <c r="D9" s="111" t="s">
        <v>53</v>
      </c>
      <c r="E9" s="111"/>
      <c r="F9" s="111"/>
      <c r="G9" s="112" t="s">
        <v>204</v>
      </c>
      <c r="H9" s="113"/>
    </row>
    <row r="10" spans="1:8">
      <c r="A10" s="2"/>
      <c r="B10" s="2"/>
      <c r="C10" s="2"/>
      <c r="D10" s="3"/>
      <c r="E10" s="2"/>
      <c r="F10" s="2"/>
      <c r="G10" s="2"/>
      <c r="H10" s="2"/>
    </row>
    <row r="11" spans="1:8" ht="63">
      <c r="A11" s="4" t="s">
        <v>14</v>
      </c>
      <c r="B11" s="5" t="s">
        <v>15</v>
      </c>
      <c r="C11" s="5" t="s">
        <v>16</v>
      </c>
      <c r="D11" s="80" t="s">
        <v>197</v>
      </c>
      <c r="E11" s="80" t="s">
        <v>198</v>
      </c>
      <c r="F11" s="80" t="s">
        <v>199</v>
      </c>
      <c r="G11" s="6" t="s">
        <v>54</v>
      </c>
      <c r="H11" s="80" t="s">
        <v>196</v>
      </c>
    </row>
    <row r="12" spans="1:8" ht="18.75">
      <c r="A12" s="30">
        <v>1</v>
      </c>
      <c r="B12" s="30" t="s">
        <v>77</v>
      </c>
      <c r="C12" s="31" t="s">
        <v>78</v>
      </c>
      <c r="D12" s="8">
        <v>5</v>
      </c>
      <c r="E12" s="12">
        <v>5</v>
      </c>
      <c r="F12" s="8">
        <v>4</v>
      </c>
      <c r="G12" s="81">
        <v>5</v>
      </c>
      <c r="H12" s="8">
        <f>SUM(D12:G12)</f>
        <v>19</v>
      </c>
    </row>
    <row r="13" spans="1:8" ht="18.75">
      <c r="A13" s="30">
        <v>2</v>
      </c>
      <c r="B13" s="30" t="s">
        <v>79</v>
      </c>
      <c r="C13" s="31" t="s">
        <v>80</v>
      </c>
      <c r="D13" s="8">
        <v>5</v>
      </c>
      <c r="E13" s="12">
        <v>5</v>
      </c>
      <c r="F13" s="8">
        <v>5</v>
      </c>
      <c r="G13" s="81">
        <v>3</v>
      </c>
      <c r="H13" s="8">
        <f t="shared" ref="H13:H61" si="0">SUM(D13:G13)</f>
        <v>18</v>
      </c>
    </row>
    <row r="14" spans="1:8" ht="18.75">
      <c r="A14" s="30">
        <v>3</v>
      </c>
      <c r="B14" s="30" t="s">
        <v>81</v>
      </c>
      <c r="C14" s="31" t="s">
        <v>82</v>
      </c>
      <c r="D14" s="8">
        <v>5</v>
      </c>
      <c r="E14" s="12">
        <v>5</v>
      </c>
      <c r="F14" s="8">
        <v>4</v>
      </c>
      <c r="G14" s="81">
        <v>4</v>
      </c>
      <c r="H14" s="8">
        <f t="shared" si="0"/>
        <v>18</v>
      </c>
    </row>
    <row r="15" spans="1:8" ht="18.75">
      <c r="A15" s="30">
        <v>4</v>
      </c>
      <c r="B15" s="30" t="s">
        <v>83</v>
      </c>
      <c r="C15" s="31" t="s">
        <v>84</v>
      </c>
      <c r="D15" s="8">
        <v>5</v>
      </c>
      <c r="E15" s="12">
        <v>4</v>
      </c>
      <c r="F15" s="8">
        <v>4</v>
      </c>
      <c r="G15" s="81">
        <v>3</v>
      </c>
      <c r="H15" s="8">
        <f t="shared" si="0"/>
        <v>16</v>
      </c>
    </row>
    <row r="16" spans="1:8" ht="18.75">
      <c r="A16" s="30">
        <v>5</v>
      </c>
      <c r="B16" s="30" t="s">
        <v>85</v>
      </c>
      <c r="C16" s="31" t="s">
        <v>86</v>
      </c>
      <c r="D16" s="8">
        <v>5</v>
      </c>
      <c r="E16" s="12">
        <v>5</v>
      </c>
      <c r="F16" s="8">
        <v>5</v>
      </c>
      <c r="G16" s="81">
        <v>2</v>
      </c>
      <c r="H16" s="8">
        <f t="shared" si="0"/>
        <v>17</v>
      </c>
    </row>
    <row r="17" spans="1:8" ht="18.75">
      <c r="A17" s="30">
        <v>6</v>
      </c>
      <c r="B17" s="30" t="s">
        <v>87</v>
      </c>
      <c r="C17" s="31" t="s">
        <v>88</v>
      </c>
      <c r="D17" s="8">
        <v>5</v>
      </c>
      <c r="E17" s="12">
        <v>5</v>
      </c>
      <c r="F17" s="8">
        <v>5</v>
      </c>
      <c r="G17" s="81">
        <v>4</v>
      </c>
      <c r="H17" s="8">
        <f t="shared" si="0"/>
        <v>19</v>
      </c>
    </row>
    <row r="18" spans="1:8" ht="18.75">
      <c r="A18" s="30">
        <v>7</v>
      </c>
      <c r="B18" s="30" t="s">
        <v>89</v>
      </c>
      <c r="C18" s="31" t="s">
        <v>90</v>
      </c>
      <c r="D18" s="8">
        <v>5</v>
      </c>
      <c r="E18" s="12">
        <v>5</v>
      </c>
      <c r="F18" s="8">
        <v>5</v>
      </c>
      <c r="G18" s="81">
        <v>4</v>
      </c>
      <c r="H18" s="8">
        <f t="shared" si="0"/>
        <v>19</v>
      </c>
    </row>
    <row r="19" spans="1:8" ht="18.75">
      <c r="A19" s="30">
        <v>8</v>
      </c>
      <c r="B19" s="30" t="s">
        <v>91</v>
      </c>
      <c r="C19" s="31" t="s">
        <v>92</v>
      </c>
      <c r="D19" s="8">
        <v>5</v>
      </c>
      <c r="E19" s="12">
        <v>5</v>
      </c>
      <c r="F19" s="8">
        <v>5</v>
      </c>
      <c r="G19" s="81">
        <v>4</v>
      </c>
      <c r="H19" s="8">
        <f t="shared" si="0"/>
        <v>19</v>
      </c>
    </row>
    <row r="20" spans="1:8" ht="18.75">
      <c r="A20" s="30">
        <v>9</v>
      </c>
      <c r="B20" s="30" t="s">
        <v>93</v>
      </c>
      <c r="C20" s="31" t="s">
        <v>94</v>
      </c>
      <c r="D20" s="8">
        <v>5</v>
      </c>
      <c r="E20" s="12">
        <v>5</v>
      </c>
      <c r="F20" s="8">
        <v>5</v>
      </c>
      <c r="G20" s="81">
        <v>5</v>
      </c>
      <c r="H20" s="8">
        <f t="shared" si="0"/>
        <v>20</v>
      </c>
    </row>
    <row r="21" spans="1:8" ht="18.75">
      <c r="A21" s="30">
        <v>10</v>
      </c>
      <c r="B21" s="30" t="s">
        <v>95</v>
      </c>
      <c r="C21" s="31" t="s">
        <v>96</v>
      </c>
      <c r="D21" s="8">
        <v>5</v>
      </c>
      <c r="E21" s="12">
        <v>5</v>
      </c>
      <c r="F21" s="8">
        <v>4</v>
      </c>
      <c r="G21" s="81">
        <v>3</v>
      </c>
      <c r="H21" s="8">
        <f t="shared" si="0"/>
        <v>17</v>
      </c>
    </row>
    <row r="22" spans="1:8" ht="18.75">
      <c r="A22" s="30">
        <v>11</v>
      </c>
      <c r="B22" s="30" t="s">
        <v>97</v>
      </c>
      <c r="C22" s="31" t="s">
        <v>98</v>
      </c>
      <c r="D22" s="8">
        <v>5</v>
      </c>
      <c r="E22" s="12">
        <v>4</v>
      </c>
      <c r="F22" s="8">
        <v>4</v>
      </c>
      <c r="G22" s="81">
        <v>2</v>
      </c>
      <c r="H22" s="8">
        <f t="shared" si="0"/>
        <v>15</v>
      </c>
    </row>
    <row r="23" spans="1:8" ht="18.75">
      <c r="A23" s="30">
        <v>12</v>
      </c>
      <c r="B23" s="30" t="s">
        <v>99</v>
      </c>
      <c r="C23" s="31" t="s">
        <v>100</v>
      </c>
      <c r="D23" s="8">
        <v>5</v>
      </c>
      <c r="E23" s="12">
        <v>5</v>
      </c>
      <c r="F23" s="8">
        <v>4</v>
      </c>
      <c r="G23" s="81">
        <v>3</v>
      </c>
      <c r="H23" s="8">
        <f t="shared" si="0"/>
        <v>17</v>
      </c>
    </row>
    <row r="24" spans="1:8" ht="18.75">
      <c r="A24" s="30">
        <v>13</v>
      </c>
      <c r="B24" s="30" t="s">
        <v>101</v>
      </c>
      <c r="C24" s="31" t="s">
        <v>102</v>
      </c>
      <c r="D24" s="8">
        <v>5</v>
      </c>
      <c r="E24" s="12">
        <v>5</v>
      </c>
      <c r="F24" s="8">
        <v>5</v>
      </c>
      <c r="G24" s="81">
        <v>0</v>
      </c>
      <c r="H24" s="8">
        <f t="shared" si="0"/>
        <v>15</v>
      </c>
    </row>
    <row r="25" spans="1:8" ht="18.75">
      <c r="A25" s="30">
        <v>14</v>
      </c>
      <c r="B25" s="30" t="s">
        <v>103</v>
      </c>
      <c r="C25" s="31" t="s">
        <v>104</v>
      </c>
      <c r="D25" s="8">
        <v>5</v>
      </c>
      <c r="E25" s="12">
        <v>4</v>
      </c>
      <c r="F25" s="8">
        <v>4</v>
      </c>
      <c r="G25" s="81">
        <v>5</v>
      </c>
      <c r="H25" s="8">
        <f t="shared" si="0"/>
        <v>18</v>
      </c>
    </row>
    <row r="26" spans="1:8" ht="18.75">
      <c r="A26" s="30">
        <v>15</v>
      </c>
      <c r="B26" s="30" t="s">
        <v>105</v>
      </c>
      <c r="C26" s="31" t="s">
        <v>106</v>
      </c>
      <c r="D26" s="8">
        <v>5</v>
      </c>
      <c r="E26" s="12">
        <v>5</v>
      </c>
      <c r="F26" s="8">
        <v>5</v>
      </c>
      <c r="G26" s="81">
        <v>3</v>
      </c>
      <c r="H26" s="8">
        <f t="shared" si="0"/>
        <v>18</v>
      </c>
    </row>
    <row r="27" spans="1:8" ht="18.75">
      <c r="A27" s="30">
        <v>16</v>
      </c>
      <c r="B27" s="30" t="s">
        <v>107</v>
      </c>
      <c r="C27" s="31" t="s">
        <v>108</v>
      </c>
      <c r="D27" s="8">
        <v>5</v>
      </c>
      <c r="E27" s="12">
        <v>4</v>
      </c>
      <c r="F27" s="8">
        <v>4</v>
      </c>
      <c r="G27" s="81">
        <v>0</v>
      </c>
      <c r="H27" s="8">
        <f t="shared" si="0"/>
        <v>13</v>
      </c>
    </row>
    <row r="28" spans="1:8" ht="18.75">
      <c r="A28" s="30">
        <v>17</v>
      </c>
      <c r="B28" s="30" t="s">
        <v>109</v>
      </c>
      <c r="C28" s="31" t="s">
        <v>110</v>
      </c>
      <c r="D28" s="8">
        <v>5</v>
      </c>
      <c r="E28" s="12">
        <v>5</v>
      </c>
      <c r="F28" s="8">
        <v>5</v>
      </c>
      <c r="G28" s="81">
        <v>4</v>
      </c>
      <c r="H28" s="8">
        <f t="shared" si="0"/>
        <v>19</v>
      </c>
    </row>
    <row r="29" spans="1:8" ht="18.75">
      <c r="A29" s="30">
        <v>18</v>
      </c>
      <c r="B29" s="30" t="s">
        <v>111</v>
      </c>
      <c r="C29" s="31" t="s">
        <v>112</v>
      </c>
      <c r="D29" s="8">
        <v>5</v>
      </c>
      <c r="E29" s="12">
        <v>5</v>
      </c>
      <c r="F29" s="8">
        <v>5</v>
      </c>
      <c r="G29" s="81">
        <v>2</v>
      </c>
      <c r="H29" s="8">
        <f t="shared" si="0"/>
        <v>17</v>
      </c>
    </row>
    <row r="30" spans="1:8" ht="18.75">
      <c r="A30" s="30">
        <v>19</v>
      </c>
      <c r="B30" s="30" t="s">
        <v>113</v>
      </c>
      <c r="C30" s="31" t="s">
        <v>114</v>
      </c>
      <c r="D30" s="8">
        <v>5</v>
      </c>
      <c r="E30" s="12">
        <v>5</v>
      </c>
      <c r="F30" s="8">
        <v>5</v>
      </c>
      <c r="G30" s="81">
        <v>4</v>
      </c>
      <c r="H30" s="8">
        <f t="shared" si="0"/>
        <v>19</v>
      </c>
    </row>
    <row r="31" spans="1:8" ht="18.75">
      <c r="A31" s="30">
        <v>20</v>
      </c>
      <c r="B31" s="30" t="s">
        <v>115</v>
      </c>
      <c r="C31" s="31" t="s">
        <v>116</v>
      </c>
      <c r="D31" s="8">
        <v>5</v>
      </c>
      <c r="E31" s="12">
        <v>5</v>
      </c>
      <c r="F31" s="8">
        <v>5</v>
      </c>
      <c r="G31" s="81">
        <v>4</v>
      </c>
      <c r="H31" s="8">
        <f t="shared" si="0"/>
        <v>19</v>
      </c>
    </row>
    <row r="32" spans="1:8" ht="18.75">
      <c r="A32" s="30">
        <v>21</v>
      </c>
      <c r="B32" s="30" t="s">
        <v>117</v>
      </c>
      <c r="C32" s="31" t="s">
        <v>118</v>
      </c>
      <c r="D32" s="8">
        <v>5</v>
      </c>
      <c r="E32" s="12">
        <v>5</v>
      </c>
      <c r="F32" s="8">
        <v>4</v>
      </c>
      <c r="G32" s="81">
        <v>3</v>
      </c>
      <c r="H32" s="8">
        <f t="shared" si="0"/>
        <v>17</v>
      </c>
    </row>
    <row r="33" spans="1:8" ht="18.75">
      <c r="A33" s="30">
        <v>22</v>
      </c>
      <c r="B33" s="30" t="s">
        <v>119</v>
      </c>
      <c r="C33" s="31" t="s">
        <v>120</v>
      </c>
      <c r="D33" s="8">
        <v>5</v>
      </c>
      <c r="E33" s="12">
        <v>5</v>
      </c>
      <c r="F33" s="8">
        <v>5</v>
      </c>
      <c r="G33" s="81">
        <v>2</v>
      </c>
      <c r="H33" s="8">
        <f t="shared" si="0"/>
        <v>17</v>
      </c>
    </row>
    <row r="34" spans="1:8" ht="18.75">
      <c r="A34" s="30">
        <v>23</v>
      </c>
      <c r="B34" s="30" t="s">
        <v>121</v>
      </c>
      <c r="C34" s="31" t="s">
        <v>122</v>
      </c>
      <c r="D34" s="8">
        <v>5</v>
      </c>
      <c r="E34" s="12">
        <v>5</v>
      </c>
      <c r="F34" s="8">
        <v>5</v>
      </c>
      <c r="G34" s="81">
        <v>5</v>
      </c>
      <c r="H34" s="8">
        <f t="shared" si="0"/>
        <v>20</v>
      </c>
    </row>
    <row r="35" spans="1:8" ht="18.75">
      <c r="A35" s="30">
        <v>24</v>
      </c>
      <c r="B35" s="30" t="s">
        <v>123</v>
      </c>
      <c r="C35" s="31" t="s">
        <v>124</v>
      </c>
      <c r="D35" s="8">
        <v>5</v>
      </c>
      <c r="E35" s="12">
        <v>5</v>
      </c>
      <c r="F35" s="8">
        <v>5</v>
      </c>
      <c r="G35" s="81">
        <v>4</v>
      </c>
      <c r="H35" s="8">
        <f t="shared" si="0"/>
        <v>19</v>
      </c>
    </row>
    <row r="36" spans="1:8" ht="18.75">
      <c r="A36" s="30">
        <v>25</v>
      </c>
      <c r="B36" s="30" t="s">
        <v>125</v>
      </c>
      <c r="C36" s="31" t="s">
        <v>126</v>
      </c>
      <c r="D36" s="8">
        <v>5</v>
      </c>
      <c r="E36" s="12">
        <v>5</v>
      </c>
      <c r="F36" s="8">
        <v>5</v>
      </c>
      <c r="G36" s="81">
        <v>4</v>
      </c>
      <c r="H36" s="8">
        <f t="shared" si="0"/>
        <v>19</v>
      </c>
    </row>
    <row r="37" spans="1:8" ht="18.75">
      <c r="A37" s="30">
        <v>26</v>
      </c>
      <c r="B37" s="30" t="s">
        <v>127</v>
      </c>
      <c r="C37" s="31" t="s">
        <v>128</v>
      </c>
      <c r="D37" s="8">
        <v>5</v>
      </c>
      <c r="E37" s="12">
        <v>5</v>
      </c>
      <c r="F37" s="8">
        <v>4</v>
      </c>
      <c r="G37" s="81">
        <v>2</v>
      </c>
      <c r="H37" s="8">
        <f t="shared" si="0"/>
        <v>16</v>
      </c>
    </row>
    <row r="38" spans="1:8" ht="18.75">
      <c r="A38" s="30">
        <v>27</v>
      </c>
      <c r="B38" s="30" t="s">
        <v>129</v>
      </c>
      <c r="C38" s="31" t="s">
        <v>130</v>
      </c>
      <c r="D38" s="8">
        <v>5</v>
      </c>
      <c r="E38" s="12">
        <v>5</v>
      </c>
      <c r="F38" s="8">
        <v>5</v>
      </c>
      <c r="G38" s="81">
        <v>3</v>
      </c>
      <c r="H38" s="8">
        <f t="shared" si="0"/>
        <v>18</v>
      </c>
    </row>
    <row r="39" spans="1:8" ht="18.75">
      <c r="A39" s="30">
        <v>28</v>
      </c>
      <c r="B39" s="30" t="s">
        <v>131</v>
      </c>
      <c r="C39" s="31" t="s">
        <v>132</v>
      </c>
      <c r="D39" s="8">
        <v>5</v>
      </c>
      <c r="E39" s="12">
        <v>5</v>
      </c>
      <c r="F39" s="8">
        <v>5</v>
      </c>
      <c r="G39" s="81">
        <v>2</v>
      </c>
      <c r="H39" s="8">
        <f t="shared" si="0"/>
        <v>17</v>
      </c>
    </row>
    <row r="40" spans="1:8" ht="18.75">
      <c r="A40" s="30">
        <v>29</v>
      </c>
      <c r="B40" s="30" t="s">
        <v>133</v>
      </c>
      <c r="C40" s="31" t="s">
        <v>134</v>
      </c>
      <c r="D40" s="8">
        <v>5</v>
      </c>
      <c r="E40" s="12">
        <v>5</v>
      </c>
      <c r="F40" s="8">
        <v>5</v>
      </c>
      <c r="G40" s="81">
        <v>2</v>
      </c>
      <c r="H40" s="8">
        <f t="shared" si="0"/>
        <v>17</v>
      </c>
    </row>
    <row r="41" spans="1:8" ht="18.75">
      <c r="A41" s="30">
        <v>30</v>
      </c>
      <c r="B41" s="30" t="s">
        <v>135</v>
      </c>
      <c r="C41" s="31" t="s">
        <v>136</v>
      </c>
      <c r="D41" s="8">
        <v>5</v>
      </c>
      <c r="E41" s="12">
        <v>5</v>
      </c>
      <c r="F41" s="8">
        <v>5</v>
      </c>
      <c r="G41" s="81">
        <v>5</v>
      </c>
      <c r="H41" s="8">
        <f t="shared" si="0"/>
        <v>20</v>
      </c>
    </row>
    <row r="42" spans="1:8" ht="18.75">
      <c r="A42" s="30">
        <v>31</v>
      </c>
      <c r="B42" s="30" t="s">
        <v>137</v>
      </c>
      <c r="C42" s="31" t="s">
        <v>138</v>
      </c>
      <c r="D42" s="8">
        <v>5</v>
      </c>
      <c r="E42" s="12">
        <v>5</v>
      </c>
      <c r="F42" s="8">
        <v>5</v>
      </c>
      <c r="G42" s="81">
        <v>3</v>
      </c>
      <c r="H42" s="8">
        <f t="shared" si="0"/>
        <v>18</v>
      </c>
    </row>
    <row r="43" spans="1:8" ht="18.75">
      <c r="A43" s="30">
        <v>32</v>
      </c>
      <c r="B43" s="30" t="s">
        <v>139</v>
      </c>
      <c r="C43" s="31" t="s">
        <v>140</v>
      </c>
      <c r="D43" s="8">
        <v>5</v>
      </c>
      <c r="E43" s="12">
        <v>5</v>
      </c>
      <c r="F43" s="8">
        <v>5</v>
      </c>
      <c r="G43" s="81">
        <v>4</v>
      </c>
      <c r="H43" s="8">
        <f t="shared" si="0"/>
        <v>19</v>
      </c>
    </row>
    <row r="44" spans="1:8" ht="18.75">
      <c r="A44" s="30">
        <v>33</v>
      </c>
      <c r="B44" s="30" t="s">
        <v>141</v>
      </c>
      <c r="C44" s="35" t="s">
        <v>142</v>
      </c>
      <c r="D44" s="8">
        <v>5</v>
      </c>
      <c r="E44" s="12">
        <v>5</v>
      </c>
      <c r="F44" s="8">
        <v>5</v>
      </c>
      <c r="G44" s="81">
        <v>3</v>
      </c>
      <c r="H44" s="8">
        <f t="shared" si="0"/>
        <v>18</v>
      </c>
    </row>
    <row r="45" spans="1:8" ht="18.75">
      <c r="A45" s="30">
        <v>34</v>
      </c>
      <c r="B45" s="30" t="s">
        <v>143</v>
      </c>
      <c r="C45" s="31" t="s">
        <v>144</v>
      </c>
      <c r="D45" s="8">
        <v>5</v>
      </c>
      <c r="E45" s="12">
        <v>5</v>
      </c>
      <c r="F45" s="8">
        <v>5</v>
      </c>
      <c r="G45" s="81">
        <v>4</v>
      </c>
      <c r="H45" s="8">
        <f t="shared" si="0"/>
        <v>19</v>
      </c>
    </row>
    <row r="46" spans="1:8" ht="18.75">
      <c r="A46" s="30">
        <v>35</v>
      </c>
      <c r="B46" s="30" t="s">
        <v>145</v>
      </c>
      <c r="C46" s="31" t="s">
        <v>146</v>
      </c>
      <c r="D46" s="8">
        <v>5</v>
      </c>
      <c r="E46" s="12">
        <v>5</v>
      </c>
      <c r="F46" s="8">
        <v>5</v>
      </c>
      <c r="G46" s="81">
        <v>5</v>
      </c>
      <c r="H46" s="8">
        <f t="shared" si="0"/>
        <v>20</v>
      </c>
    </row>
    <row r="47" spans="1:8" ht="18.75">
      <c r="A47" s="30">
        <v>36</v>
      </c>
      <c r="B47" s="30" t="s">
        <v>147</v>
      </c>
      <c r="C47" s="31" t="s">
        <v>148</v>
      </c>
      <c r="D47" s="8">
        <v>5</v>
      </c>
      <c r="E47" s="12">
        <v>5</v>
      </c>
      <c r="F47" s="8">
        <v>4</v>
      </c>
      <c r="G47" s="81">
        <v>2</v>
      </c>
      <c r="H47" s="8">
        <f t="shared" si="0"/>
        <v>16</v>
      </c>
    </row>
    <row r="48" spans="1:8" ht="18.75">
      <c r="A48" s="30">
        <v>37</v>
      </c>
      <c r="B48" s="30" t="s">
        <v>149</v>
      </c>
      <c r="C48" s="31" t="s">
        <v>150</v>
      </c>
      <c r="D48" s="8">
        <v>5</v>
      </c>
      <c r="E48" s="12">
        <v>5</v>
      </c>
      <c r="F48" s="8">
        <v>5</v>
      </c>
      <c r="G48" s="81">
        <v>4</v>
      </c>
      <c r="H48" s="8">
        <f t="shared" si="0"/>
        <v>19</v>
      </c>
    </row>
    <row r="49" spans="1:8" ht="18.75">
      <c r="A49" s="30">
        <v>38</v>
      </c>
      <c r="B49" s="30" t="s">
        <v>151</v>
      </c>
      <c r="C49" s="31" t="s">
        <v>152</v>
      </c>
      <c r="D49" s="8">
        <v>5</v>
      </c>
      <c r="E49" s="12">
        <v>4</v>
      </c>
      <c r="F49" s="8">
        <v>5</v>
      </c>
      <c r="G49" s="81">
        <v>3</v>
      </c>
      <c r="H49" s="8">
        <f t="shared" si="0"/>
        <v>17</v>
      </c>
    </row>
    <row r="50" spans="1:8" ht="18.75">
      <c r="A50" s="30">
        <v>39</v>
      </c>
      <c r="B50" s="30" t="s">
        <v>153</v>
      </c>
      <c r="C50" s="31" t="s">
        <v>154</v>
      </c>
      <c r="D50" s="8">
        <v>5</v>
      </c>
      <c r="E50" s="12">
        <v>4</v>
      </c>
      <c r="F50" s="8">
        <v>4</v>
      </c>
      <c r="G50" s="81">
        <v>2</v>
      </c>
      <c r="H50" s="8">
        <f t="shared" si="0"/>
        <v>15</v>
      </c>
    </row>
    <row r="51" spans="1:8" ht="18.75">
      <c r="A51" s="30">
        <v>40</v>
      </c>
      <c r="B51" s="30" t="s">
        <v>155</v>
      </c>
      <c r="C51" s="31" t="s">
        <v>156</v>
      </c>
      <c r="D51" s="8">
        <v>5</v>
      </c>
      <c r="E51" s="12">
        <v>5</v>
      </c>
      <c r="F51" s="8">
        <v>5</v>
      </c>
      <c r="G51" s="81">
        <v>3</v>
      </c>
      <c r="H51" s="8">
        <f t="shared" si="0"/>
        <v>18</v>
      </c>
    </row>
    <row r="52" spans="1:8" ht="18.75">
      <c r="A52" s="30">
        <v>41</v>
      </c>
      <c r="B52" s="30" t="s">
        <v>157</v>
      </c>
      <c r="C52" s="31" t="s">
        <v>158</v>
      </c>
      <c r="D52" s="8">
        <v>5</v>
      </c>
      <c r="E52" s="12">
        <v>5</v>
      </c>
      <c r="F52" s="8">
        <v>5</v>
      </c>
      <c r="G52" s="81">
        <v>5</v>
      </c>
      <c r="H52" s="8">
        <f t="shared" si="0"/>
        <v>20</v>
      </c>
    </row>
    <row r="53" spans="1:8" ht="18.75">
      <c r="A53" s="30">
        <v>42</v>
      </c>
      <c r="B53" s="30" t="s">
        <v>159</v>
      </c>
      <c r="C53" s="31" t="s">
        <v>160</v>
      </c>
      <c r="D53" s="8">
        <v>5</v>
      </c>
      <c r="E53" s="12">
        <v>5</v>
      </c>
      <c r="F53" s="8">
        <v>4</v>
      </c>
      <c r="G53" s="81">
        <v>1</v>
      </c>
      <c r="H53" s="8">
        <f t="shared" si="0"/>
        <v>15</v>
      </c>
    </row>
    <row r="54" spans="1:8" ht="18.75">
      <c r="A54" s="30">
        <v>43</v>
      </c>
      <c r="B54" s="30" t="s">
        <v>161</v>
      </c>
      <c r="C54" s="31" t="s">
        <v>162</v>
      </c>
      <c r="D54" s="8">
        <v>5</v>
      </c>
      <c r="E54" s="12">
        <v>5</v>
      </c>
      <c r="F54" s="8">
        <v>5</v>
      </c>
      <c r="G54" s="81">
        <v>3</v>
      </c>
      <c r="H54" s="8">
        <f t="shared" si="0"/>
        <v>18</v>
      </c>
    </row>
    <row r="55" spans="1:8" ht="18.75">
      <c r="A55" s="30">
        <v>44</v>
      </c>
      <c r="B55" s="30" t="s">
        <v>163</v>
      </c>
      <c r="C55" s="31" t="s">
        <v>164</v>
      </c>
      <c r="D55" s="8">
        <v>5</v>
      </c>
      <c r="E55" s="12">
        <v>4</v>
      </c>
      <c r="F55" s="8">
        <v>4</v>
      </c>
      <c r="G55" s="81">
        <v>3</v>
      </c>
      <c r="H55" s="8">
        <f t="shared" si="0"/>
        <v>16</v>
      </c>
    </row>
    <row r="56" spans="1:8" ht="18.75">
      <c r="A56" s="30">
        <v>45</v>
      </c>
      <c r="B56" s="30" t="s">
        <v>165</v>
      </c>
      <c r="C56" s="31" t="s">
        <v>166</v>
      </c>
      <c r="D56" s="8">
        <v>5</v>
      </c>
      <c r="E56" s="12">
        <v>5</v>
      </c>
      <c r="F56" s="8">
        <v>4</v>
      </c>
      <c r="G56" s="81">
        <v>2</v>
      </c>
      <c r="H56" s="8">
        <f t="shared" si="0"/>
        <v>16</v>
      </c>
    </row>
    <row r="57" spans="1:8" ht="18.75">
      <c r="A57" s="30">
        <v>46</v>
      </c>
      <c r="B57" s="30" t="s">
        <v>167</v>
      </c>
      <c r="C57" s="31" t="s">
        <v>168</v>
      </c>
      <c r="D57" s="8">
        <v>5</v>
      </c>
      <c r="E57" s="12">
        <v>5</v>
      </c>
      <c r="F57" s="8">
        <v>4</v>
      </c>
      <c r="G57" s="81">
        <v>3</v>
      </c>
      <c r="H57" s="8">
        <f t="shared" si="0"/>
        <v>17</v>
      </c>
    </row>
    <row r="58" spans="1:8" ht="18.75">
      <c r="A58" s="30">
        <v>47</v>
      </c>
      <c r="B58" s="30" t="s">
        <v>169</v>
      </c>
      <c r="C58" s="31" t="s">
        <v>170</v>
      </c>
      <c r="D58" s="8">
        <v>5</v>
      </c>
      <c r="E58" s="12">
        <v>4</v>
      </c>
      <c r="F58" s="8">
        <v>4</v>
      </c>
      <c r="G58" s="81">
        <v>1</v>
      </c>
      <c r="H58" s="8">
        <f t="shared" si="0"/>
        <v>14</v>
      </c>
    </row>
    <row r="59" spans="1:8" ht="18.75">
      <c r="A59" s="30">
        <v>48</v>
      </c>
      <c r="B59" s="30" t="s">
        <v>171</v>
      </c>
      <c r="C59" s="31" t="s">
        <v>172</v>
      </c>
      <c r="D59" s="8">
        <v>5</v>
      </c>
      <c r="E59" s="12">
        <v>4</v>
      </c>
      <c r="F59" s="8">
        <v>4</v>
      </c>
      <c r="G59" s="81">
        <v>1</v>
      </c>
      <c r="H59" s="8">
        <f t="shared" si="0"/>
        <v>14</v>
      </c>
    </row>
    <row r="60" spans="1:8" ht="18.75">
      <c r="A60" s="30">
        <v>49</v>
      </c>
      <c r="B60" s="30" t="s">
        <v>173</v>
      </c>
      <c r="C60" s="35" t="s">
        <v>176</v>
      </c>
      <c r="D60" s="8">
        <v>5</v>
      </c>
      <c r="E60" s="12">
        <v>5</v>
      </c>
      <c r="F60" s="8">
        <v>4</v>
      </c>
      <c r="G60" s="81">
        <v>4</v>
      </c>
      <c r="H60" s="8">
        <f t="shared" si="0"/>
        <v>18</v>
      </c>
    </row>
    <row r="61" spans="1:8" ht="18.75">
      <c r="A61" s="30">
        <v>50</v>
      </c>
      <c r="B61" s="30" t="s">
        <v>174</v>
      </c>
      <c r="C61" s="31" t="s">
        <v>175</v>
      </c>
      <c r="D61" s="8">
        <v>5</v>
      </c>
      <c r="E61" s="12">
        <v>5</v>
      </c>
      <c r="F61" s="8">
        <v>4</v>
      </c>
      <c r="G61" s="81">
        <v>2</v>
      </c>
      <c r="H61" s="8">
        <f t="shared" si="0"/>
        <v>16</v>
      </c>
    </row>
    <row r="64" spans="1:8" ht="15.75">
      <c r="B64" s="9" t="s">
        <v>36</v>
      </c>
      <c r="D64" s="9" t="s">
        <v>37</v>
      </c>
      <c r="H64" s="9" t="s">
        <v>38</v>
      </c>
    </row>
    <row r="65" spans="2:8" ht="15.75">
      <c r="B65" s="11" t="s">
        <v>39</v>
      </c>
      <c r="D65" s="11" t="s">
        <v>40</v>
      </c>
      <c r="H65" s="11" t="s">
        <v>41</v>
      </c>
    </row>
  </sheetData>
  <mergeCells count="7">
    <mergeCell ref="A6:H6"/>
    <mergeCell ref="A8:B8"/>
    <mergeCell ref="D8:F8"/>
    <mergeCell ref="G8:H8"/>
    <mergeCell ref="A9:B9"/>
    <mergeCell ref="D9:F9"/>
    <mergeCell ref="G9:H9"/>
  </mergeCells>
  <pageMargins left="0.7" right="0.7" top="0.75" bottom="0.75" header="0.3" footer="0.3"/>
  <pageSetup scale="7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65"/>
  <sheetViews>
    <sheetView topLeftCell="A56" workbookViewId="0">
      <selection activeCell="D74" sqref="D74"/>
    </sheetView>
  </sheetViews>
  <sheetFormatPr defaultColWidth="9" defaultRowHeight="15"/>
  <cols>
    <col min="1" max="1" width="6.28515625" customWidth="1"/>
    <col min="2" max="2" width="28.85546875" customWidth="1"/>
    <col min="3" max="3" width="36" customWidth="1"/>
    <col min="4" max="4" width="17.5703125" customWidth="1"/>
    <col min="5" max="5" width="16.7109375" customWidth="1"/>
    <col min="6" max="6" width="19.140625" customWidth="1"/>
    <col min="7" max="7" width="18.85546875" customWidth="1"/>
    <col min="8" max="8" width="24.28515625" customWidth="1"/>
  </cols>
  <sheetData>
    <row r="6" spans="1:8" ht="15.75">
      <c r="A6" s="84" t="s">
        <v>0</v>
      </c>
      <c r="B6" s="85"/>
      <c r="C6" s="85"/>
      <c r="D6" s="85"/>
      <c r="E6" s="85"/>
      <c r="F6" s="85"/>
      <c r="G6" s="85"/>
      <c r="H6" s="85"/>
    </row>
    <row r="7" spans="1:8">
      <c r="A7" s="1"/>
      <c r="B7" s="1"/>
      <c r="C7" s="1"/>
      <c r="D7" s="1"/>
      <c r="E7" s="1"/>
      <c r="F7" s="1"/>
      <c r="G7" s="1"/>
      <c r="H7" s="1"/>
    </row>
    <row r="8" spans="1:8" ht="15.75">
      <c r="A8" s="110" t="s">
        <v>63</v>
      </c>
      <c r="B8" s="111"/>
      <c r="C8" s="52" t="s">
        <v>201</v>
      </c>
      <c r="D8" s="111" t="s">
        <v>52</v>
      </c>
      <c r="E8" s="111"/>
      <c r="F8" s="111"/>
      <c r="G8" s="110" t="s">
        <v>206</v>
      </c>
      <c r="H8" s="111"/>
    </row>
    <row r="9" spans="1:8" ht="30.75" customHeight="1">
      <c r="A9" s="110" t="s">
        <v>200</v>
      </c>
      <c r="B9" s="111"/>
      <c r="C9" s="52" t="s">
        <v>202</v>
      </c>
      <c r="D9" s="111" t="s">
        <v>53</v>
      </c>
      <c r="E9" s="111"/>
      <c r="F9" s="111"/>
      <c r="G9" s="112" t="s">
        <v>205</v>
      </c>
      <c r="H9" s="113"/>
    </row>
    <row r="10" spans="1:8">
      <c r="A10" s="2"/>
      <c r="B10" s="2"/>
      <c r="C10" s="2"/>
      <c r="D10" s="3"/>
      <c r="E10" s="2"/>
      <c r="F10" s="2"/>
      <c r="G10" s="2"/>
      <c r="H10" s="2"/>
    </row>
    <row r="11" spans="1:8" ht="63">
      <c r="A11" s="4" t="s">
        <v>14</v>
      </c>
      <c r="B11" s="5" t="s">
        <v>15</v>
      </c>
      <c r="C11" s="5" t="s">
        <v>16</v>
      </c>
      <c r="D11" s="80" t="s">
        <v>197</v>
      </c>
      <c r="E11" s="80" t="s">
        <v>198</v>
      </c>
      <c r="F11" s="80" t="s">
        <v>199</v>
      </c>
      <c r="G11" s="6" t="s">
        <v>54</v>
      </c>
      <c r="H11" s="80" t="s">
        <v>196</v>
      </c>
    </row>
    <row r="12" spans="1:8" ht="18.75">
      <c r="A12" s="30">
        <v>1</v>
      </c>
      <c r="B12" s="30" t="s">
        <v>77</v>
      </c>
      <c r="C12" s="31" t="s">
        <v>78</v>
      </c>
      <c r="D12" s="8">
        <v>5</v>
      </c>
      <c r="E12" s="12">
        <v>4</v>
      </c>
      <c r="F12" s="8">
        <v>4</v>
      </c>
      <c r="G12" s="81">
        <v>5</v>
      </c>
      <c r="H12" s="8">
        <f>SUM(D12:G12)</f>
        <v>18</v>
      </c>
    </row>
    <row r="13" spans="1:8" ht="18.75">
      <c r="A13" s="30">
        <v>2</v>
      </c>
      <c r="B13" s="30" t="s">
        <v>79</v>
      </c>
      <c r="C13" s="31" t="s">
        <v>80</v>
      </c>
      <c r="D13" s="8">
        <v>5</v>
      </c>
      <c r="E13" s="12">
        <v>5</v>
      </c>
      <c r="F13" s="8">
        <v>4</v>
      </c>
      <c r="G13" s="81">
        <v>3</v>
      </c>
      <c r="H13" s="8">
        <f t="shared" ref="H13:H61" si="0">SUM(D13:G13)</f>
        <v>17</v>
      </c>
    </row>
    <row r="14" spans="1:8" ht="18.75">
      <c r="A14" s="30">
        <v>3</v>
      </c>
      <c r="B14" s="30" t="s">
        <v>81</v>
      </c>
      <c r="C14" s="31" t="s">
        <v>82</v>
      </c>
      <c r="D14" s="8">
        <v>5</v>
      </c>
      <c r="E14" s="12">
        <v>4</v>
      </c>
      <c r="F14" s="8">
        <v>4</v>
      </c>
      <c r="G14" s="81">
        <v>4</v>
      </c>
      <c r="H14" s="8">
        <f t="shared" si="0"/>
        <v>17</v>
      </c>
    </row>
    <row r="15" spans="1:8" ht="18.75">
      <c r="A15" s="30">
        <v>4</v>
      </c>
      <c r="B15" s="30" t="s">
        <v>83</v>
      </c>
      <c r="C15" s="31" t="s">
        <v>84</v>
      </c>
      <c r="D15" s="8">
        <v>5</v>
      </c>
      <c r="E15" s="12">
        <v>4</v>
      </c>
      <c r="F15" s="8">
        <v>4</v>
      </c>
      <c r="G15" s="81">
        <v>3</v>
      </c>
      <c r="H15" s="8">
        <f t="shared" si="0"/>
        <v>16</v>
      </c>
    </row>
    <row r="16" spans="1:8" ht="18.75">
      <c r="A16" s="30">
        <v>5</v>
      </c>
      <c r="B16" s="30" t="s">
        <v>85</v>
      </c>
      <c r="C16" s="31" t="s">
        <v>86</v>
      </c>
      <c r="D16" s="8">
        <v>5</v>
      </c>
      <c r="E16" s="12">
        <v>5</v>
      </c>
      <c r="F16" s="8">
        <v>4</v>
      </c>
      <c r="G16" s="81">
        <v>2</v>
      </c>
      <c r="H16" s="8">
        <f t="shared" si="0"/>
        <v>16</v>
      </c>
    </row>
    <row r="17" spans="1:8" ht="18.75">
      <c r="A17" s="30">
        <v>6</v>
      </c>
      <c r="B17" s="30" t="s">
        <v>87</v>
      </c>
      <c r="C17" s="31" t="s">
        <v>88</v>
      </c>
      <c r="D17" s="8">
        <v>5</v>
      </c>
      <c r="E17" s="12">
        <v>5</v>
      </c>
      <c r="F17" s="8">
        <v>5</v>
      </c>
      <c r="G17" s="81">
        <v>4</v>
      </c>
      <c r="H17" s="8">
        <f t="shared" si="0"/>
        <v>19</v>
      </c>
    </row>
    <row r="18" spans="1:8" ht="18.75">
      <c r="A18" s="30">
        <v>7</v>
      </c>
      <c r="B18" s="30" t="s">
        <v>89</v>
      </c>
      <c r="C18" s="31" t="s">
        <v>90</v>
      </c>
      <c r="D18" s="8">
        <v>5</v>
      </c>
      <c r="E18" s="12">
        <v>5</v>
      </c>
      <c r="F18" s="8">
        <v>5</v>
      </c>
      <c r="G18" s="81">
        <v>4</v>
      </c>
      <c r="H18" s="8">
        <f t="shared" si="0"/>
        <v>19</v>
      </c>
    </row>
    <row r="19" spans="1:8" ht="18.75">
      <c r="A19" s="30">
        <v>8</v>
      </c>
      <c r="B19" s="30" t="s">
        <v>91</v>
      </c>
      <c r="C19" s="31" t="s">
        <v>92</v>
      </c>
      <c r="D19" s="8">
        <v>5</v>
      </c>
      <c r="E19" s="12">
        <v>5</v>
      </c>
      <c r="F19" s="8">
        <v>5</v>
      </c>
      <c r="G19" s="81">
        <v>4</v>
      </c>
      <c r="H19" s="8">
        <f t="shared" si="0"/>
        <v>19</v>
      </c>
    </row>
    <row r="20" spans="1:8" ht="18.75">
      <c r="A20" s="30">
        <v>9</v>
      </c>
      <c r="B20" s="30" t="s">
        <v>93</v>
      </c>
      <c r="C20" s="31" t="s">
        <v>94</v>
      </c>
      <c r="D20" s="8">
        <v>5</v>
      </c>
      <c r="E20" s="12">
        <v>4</v>
      </c>
      <c r="F20" s="8">
        <v>4</v>
      </c>
      <c r="G20" s="81">
        <v>5</v>
      </c>
      <c r="H20" s="8">
        <f t="shared" si="0"/>
        <v>18</v>
      </c>
    </row>
    <row r="21" spans="1:8" ht="18.75">
      <c r="A21" s="30">
        <v>10</v>
      </c>
      <c r="B21" s="30" t="s">
        <v>95</v>
      </c>
      <c r="C21" s="31" t="s">
        <v>96</v>
      </c>
      <c r="D21" s="8">
        <v>5</v>
      </c>
      <c r="E21" s="12">
        <v>5</v>
      </c>
      <c r="F21" s="8">
        <v>4</v>
      </c>
      <c r="G21" s="81">
        <v>3</v>
      </c>
      <c r="H21" s="8">
        <f t="shared" si="0"/>
        <v>17</v>
      </c>
    </row>
    <row r="22" spans="1:8" ht="18.75">
      <c r="A22" s="30">
        <v>11</v>
      </c>
      <c r="B22" s="30" t="s">
        <v>97</v>
      </c>
      <c r="C22" s="31" t="s">
        <v>98</v>
      </c>
      <c r="D22" s="8">
        <v>5</v>
      </c>
      <c r="E22" s="12">
        <v>4</v>
      </c>
      <c r="F22" s="8">
        <v>4</v>
      </c>
      <c r="G22" s="81">
        <v>2</v>
      </c>
      <c r="H22" s="8">
        <f t="shared" si="0"/>
        <v>15</v>
      </c>
    </row>
    <row r="23" spans="1:8" ht="18.75">
      <c r="A23" s="30">
        <v>12</v>
      </c>
      <c r="B23" s="30" t="s">
        <v>99</v>
      </c>
      <c r="C23" s="31" t="s">
        <v>100</v>
      </c>
      <c r="D23" s="8">
        <v>5</v>
      </c>
      <c r="E23" s="12">
        <v>5</v>
      </c>
      <c r="F23" s="8">
        <v>4</v>
      </c>
      <c r="G23" s="81">
        <v>3</v>
      </c>
      <c r="H23" s="8">
        <f t="shared" si="0"/>
        <v>17</v>
      </c>
    </row>
    <row r="24" spans="1:8" ht="18.75">
      <c r="A24" s="30">
        <v>13</v>
      </c>
      <c r="B24" s="30" t="s">
        <v>101</v>
      </c>
      <c r="C24" s="31" t="s">
        <v>102</v>
      </c>
      <c r="D24" s="8">
        <v>5</v>
      </c>
      <c r="E24" s="12">
        <v>5</v>
      </c>
      <c r="F24" s="8">
        <v>5</v>
      </c>
      <c r="G24" s="81">
        <v>0</v>
      </c>
      <c r="H24" s="8">
        <f t="shared" si="0"/>
        <v>15</v>
      </c>
    </row>
    <row r="25" spans="1:8" ht="18.75">
      <c r="A25" s="30">
        <v>14</v>
      </c>
      <c r="B25" s="30" t="s">
        <v>103</v>
      </c>
      <c r="C25" s="31" t="s">
        <v>104</v>
      </c>
      <c r="D25" s="8">
        <v>5</v>
      </c>
      <c r="E25" s="12">
        <v>5</v>
      </c>
      <c r="F25" s="8">
        <v>4</v>
      </c>
      <c r="G25" s="81">
        <v>5</v>
      </c>
      <c r="H25" s="8">
        <f t="shared" si="0"/>
        <v>19</v>
      </c>
    </row>
    <row r="26" spans="1:8" ht="18.75">
      <c r="A26" s="30">
        <v>15</v>
      </c>
      <c r="B26" s="30" t="s">
        <v>105</v>
      </c>
      <c r="C26" s="31" t="s">
        <v>106</v>
      </c>
      <c r="D26" s="8">
        <v>5</v>
      </c>
      <c r="E26" s="12">
        <v>5</v>
      </c>
      <c r="F26" s="8">
        <v>5</v>
      </c>
      <c r="G26" s="81">
        <v>3</v>
      </c>
      <c r="H26" s="8">
        <f t="shared" si="0"/>
        <v>18</v>
      </c>
    </row>
    <row r="27" spans="1:8" ht="18.75">
      <c r="A27" s="30">
        <v>16</v>
      </c>
      <c r="B27" s="30" t="s">
        <v>107</v>
      </c>
      <c r="C27" s="31" t="s">
        <v>108</v>
      </c>
      <c r="D27" s="8">
        <v>5</v>
      </c>
      <c r="E27" s="12">
        <v>4</v>
      </c>
      <c r="F27" s="8">
        <v>4</v>
      </c>
      <c r="G27" s="81">
        <v>0</v>
      </c>
      <c r="H27" s="8">
        <f t="shared" si="0"/>
        <v>13</v>
      </c>
    </row>
    <row r="28" spans="1:8" ht="18.75">
      <c r="A28" s="30">
        <v>17</v>
      </c>
      <c r="B28" s="30" t="s">
        <v>109</v>
      </c>
      <c r="C28" s="31" t="s">
        <v>110</v>
      </c>
      <c r="D28" s="8">
        <v>5</v>
      </c>
      <c r="E28" s="12">
        <v>5</v>
      </c>
      <c r="F28" s="8">
        <v>5</v>
      </c>
      <c r="G28" s="81">
        <v>4</v>
      </c>
      <c r="H28" s="8">
        <f t="shared" si="0"/>
        <v>19</v>
      </c>
    </row>
    <row r="29" spans="1:8" ht="18.75">
      <c r="A29" s="30">
        <v>18</v>
      </c>
      <c r="B29" s="30" t="s">
        <v>111</v>
      </c>
      <c r="C29" s="31" t="s">
        <v>112</v>
      </c>
      <c r="D29" s="8">
        <v>5</v>
      </c>
      <c r="E29" s="12">
        <v>5</v>
      </c>
      <c r="F29" s="8">
        <v>5</v>
      </c>
      <c r="G29" s="81">
        <v>2</v>
      </c>
      <c r="H29" s="8">
        <f t="shared" si="0"/>
        <v>17</v>
      </c>
    </row>
    <row r="30" spans="1:8" ht="18.75">
      <c r="A30" s="30">
        <v>19</v>
      </c>
      <c r="B30" s="30" t="s">
        <v>113</v>
      </c>
      <c r="C30" s="31" t="s">
        <v>114</v>
      </c>
      <c r="D30" s="8">
        <v>5</v>
      </c>
      <c r="E30" s="12">
        <v>5</v>
      </c>
      <c r="F30" s="8">
        <v>4</v>
      </c>
      <c r="G30" s="81">
        <v>4</v>
      </c>
      <c r="H30" s="8">
        <f t="shared" si="0"/>
        <v>18</v>
      </c>
    </row>
    <row r="31" spans="1:8" ht="18.75">
      <c r="A31" s="30">
        <v>20</v>
      </c>
      <c r="B31" s="30" t="s">
        <v>115</v>
      </c>
      <c r="C31" s="31" t="s">
        <v>116</v>
      </c>
      <c r="D31" s="8">
        <v>5</v>
      </c>
      <c r="E31" s="12">
        <v>4</v>
      </c>
      <c r="F31" s="8">
        <v>5</v>
      </c>
      <c r="G31" s="81">
        <v>4</v>
      </c>
      <c r="H31" s="8">
        <f t="shared" si="0"/>
        <v>18</v>
      </c>
    </row>
    <row r="32" spans="1:8" ht="18.75">
      <c r="A32" s="30">
        <v>21</v>
      </c>
      <c r="B32" s="30" t="s">
        <v>117</v>
      </c>
      <c r="C32" s="31" t="s">
        <v>118</v>
      </c>
      <c r="D32" s="8">
        <v>5</v>
      </c>
      <c r="E32" s="12">
        <v>5</v>
      </c>
      <c r="F32" s="8">
        <v>4</v>
      </c>
      <c r="G32" s="81">
        <v>3</v>
      </c>
      <c r="H32" s="8">
        <f t="shared" si="0"/>
        <v>17</v>
      </c>
    </row>
    <row r="33" spans="1:8" ht="18.75">
      <c r="A33" s="30">
        <v>22</v>
      </c>
      <c r="B33" s="30" t="s">
        <v>119</v>
      </c>
      <c r="C33" s="31" t="s">
        <v>120</v>
      </c>
      <c r="D33" s="8">
        <v>5</v>
      </c>
      <c r="E33" s="12">
        <v>5</v>
      </c>
      <c r="F33" s="8">
        <v>5</v>
      </c>
      <c r="G33" s="81">
        <v>2</v>
      </c>
      <c r="H33" s="8">
        <f t="shared" si="0"/>
        <v>17</v>
      </c>
    </row>
    <row r="34" spans="1:8" ht="18.75">
      <c r="A34" s="30">
        <v>23</v>
      </c>
      <c r="B34" s="30" t="s">
        <v>121</v>
      </c>
      <c r="C34" s="31" t="s">
        <v>122</v>
      </c>
      <c r="D34" s="8">
        <v>5</v>
      </c>
      <c r="E34" s="12">
        <v>5</v>
      </c>
      <c r="F34" s="8">
        <v>5</v>
      </c>
      <c r="G34" s="81">
        <v>5</v>
      </c>
      <c r="H34" s="8">
        <f t="shared" si="0"/>
        <v>20</v>
      </c>
    </row>
    <row r="35" spans="1:8" ht="18.75">
      <c r="A35" s="30">
        <v>24</v>
      </c>
      <c r="B35" s="30" t="s">
        <v>123</v>
      </c>
      <c r="C35" s="31" t="s">
        <v>124</v>
      </c>
      <c r="D35" s="8">
        <v>5</v>
      </c>
      <c r="E35" s="12">
        <v>5</v>
      </c>
      <c r="F35" s="8">
        <v>5</v>
      </c>
      <c r="G35" s="81">
        <v>4</v>
      </c>
      <c r="H35" s="8">
        <f t="shared" si="0"/>
        <v>19</v>
      </c>
    </row>
    <row r="36" spans="1:8" ht="18.75">
      <c r="A36" s="30">
        <v>25</v>
      </c>
      <c r="B36" s="30" t="s">
        <v>125</v>
      </c>
      <c r="C36" s="31" t="s">
        <v>126</v>
      </c>
      <c r="D36" s="8">
        <v>5</v>
      </c>
      <c r="E36" s="12">
        <v>5</v>
      </c>
      <c r="F36" s="8">
        <v>5</v>
      </c>
      <c r="G36" s="81">
        <v>4</v>
      </c>
      <c r="H36" s="8">
        <f t="shared" si="0"/>
        <v>19</v>
      </c>
    </row>
    <row r="37" spans="1:8" ht="18.75">
      <c r="A37" s="30">
        <v>26</v>
      </c>
      <c r="B37" s="30" t="s">
        <v>127</v>
      </c>
      <c r="C37" s="31" t="s">
        <v>128</v>
      </c>
      <c r="D37" s="8">
        <v>5</v>
      </c>
      <c r="E37" s="12">
        <v>4</v>
      </c>
      <c r="F37" s="8">
        <v>4</v>
      </c>
      <c r="G37" s="81">
        <v>2</v>
      </c>
      <c r="H37" s="8">
        <f t="shared" si="0"/>
        <v>15</v>
      </c>
    </row>
    <row r="38" spans="1:8" ht="18.75">
      <c r="A38" s="30">
        <v>27</v>
      </c>
      <c r="B38" s="30" t="s">
        <v>129</v>
      </c>
      <c r="C38" s="31" t="s">
        <v>130</v>
      </c>
      <c r="D38" s="8">
        <v>5</v>
      </c>
      <c r="E38" s="12">
        <v>5</v>
      </c>
      <c r="F38" s="8">
        <v>4</v>
      </c>
      <c r="G38" s="81">
        <v>3</v>
      </c>
      <c r="H38" s="8">
        <f t="shared" si="0"/>
        <v>17</v>
      </c>
    </row>
    <row r="39" spans="1:8" ht="18.75">
      <c r="A39" s="30">
        <v>28</v>
      </c>
      <c r="B39" s="30" t="s">
        <v>131</v>
      </c>
      <c r="C39" s="31" t="s">
        <v>132</v>
      </c>
      <c r="D39" s="8">
        <v>5</v>
      </c>
      <c r="E39" s="12">
        <v>5</v>
      </c>
      <c r="F39" s="8">
        <v>5</v>
      </c>
      <c r="G39" s="81">
        <v>2</v>
      </c>
      <c r="H39" s="8">
        <f t="shared" si="0"/>
        <v>17</v>
      </c>
    </row>
    <row r="40" spans="1:8" ht="18.75">
      <c r="A40" s="30">
        <v>29</v>
      </c>
      <c r="B40" s="30" t="s">
        <v>133</v>
      </c>
      <c r="C40" s="31" t="s">
        <v>134</v>
      </c>
      <c r="D40" s="8">
        <v>5</v>
      </c>
      <c r="E40" s="12">
        <v>5</v>
      </c>
      <c r="F40" s="8">
        <v>4</v>
      </c>
      <c r="G40" s="81">
        <v>2</v>
      </c>
      <c r="H40" s="8">
        <f t="shared" si="0"/>
        <v>16</v>
      </c>
    </row>
    <row r="41" spans="1:8" ht="18.75">
      <c r="A41" s="30">
        <v>30</v>
      </c>
      <c r="B41" s="30" t="s">
        <v>135</v>
      </c>
      <c r="C41" s="31" t="s">
        <v>136</v>
      </c>
      <c r="D41" s="8">
        <v>5</v>
      </c>
      <c r="E41" s="12">
        <v>5</v>
      </c>
      <c r="F41" s="8">
        <v>5</v>
      </c>
      <c r="G41" s="81">
        <v>5</v>
      </c>
      <c r="H41" s="8">
        <f t="shared" si="0"/>
        <v>20</v>
      </c>
    </row>
    <row r="42" spans="1:8" ht="18.75">
      <c r="A42" s="30">
        <v>31</v>
      </c>
      <c r="B42" s="30" t="s">
        <v>137</v>
      </c>
      <c r="C42" s="31" t="s">
        <v>138</v>
      </c>
      <c r="D42" s="8">
        <v>5</v>
      </c>
      <c r="E42" s="12">
        <v>5</v>
      </c>
      <c r="F42" s="8">
        <v>5</v>
      </c>
      <c r="G42" s="81">
        <v>3</v>
      </c>
      <c r="H42" s="8">
        <f t="shared" si="0"/>
        <v>18</v>
      </c>
    </row>
    <row r="43" spans="1:8" ht="18.75">
      <c r="A43" s="30">
        <v>32</v>
      </c>
      <c r="B43" s="30" t="s">
        <v>139</v>
      </c>
      <c r="C43" s="31" t="s">
        <v>140</v>
      </c>
      <c r="D43" s="8">
        <v>5</v>
      </c>
      <c r="E43" s="12">
        <v>5</v>
      </c>
      <c r="F43" s="8">
        <v>5</v>
      </c>
      <c r="G43" s="81">
        <v>4</v>
      </c>
      <c r="H43" s="8">
        <f t="shared" si="0"/>
        <v>19</v>
      </c>
    </row>
    <row r="44" spans="1:8" ht="18.75">
      <c r="A44" s="30">
        <v>33</v>
      </c>
      <c r="B44" s="30" t="s">
        <v>141</v>
      </c>
      <c r="C44" s="31" t="s">
        <v>142</v>
      </c>
      <c r="D44" s="8">
        <v>5</v>
      </c>
      <c r="E44" s="12">
        <v>5</v>
      </c>
      <c r="F44" s="8">
        <v>5</v>
      </c>
      <c r="G44" s="81">
        <v>3</v>
      </c>
      <c r="H44" s="8">
        <f t="shared" si="0"/>
        <v>18</v>
      </c>
    </row>
    <row r="45" spans="1:8" ht="18.75">
      <c r="A45" s="30">
        <v>34</v>
      </c>
      <c r="B45" s="30" t="s">
        <v>143</v>
      </c>
      <c r="C45" s="31" t="s">
        <v>144</v>
      </c>
      <c r="D45" s="8">
        <v>5</v>
      </c>
      <c r="E45" s="12">
        <v>5</v>
      </c>
      <c r="F45" s="8">
        <v>5</v>
      </c>
      <c r="G45" s="81">
        <v>4</v>
      </c>
      <c r="H45" s="8">
        <f t="shared" si="0"/>
        <v>19</v>
      </c>
    </row>
    <row r="46" spans="1:8" ht="18.75">
      <c r="A46" s="30">
        <v>35</v>
      </c>
      <c r="B46" s="30" t="s">
        <v>145</v>
      </c>
      <c r="C46" s="31" t="s">
        <v>146</v>
      </c>
      <c r="D46" s="8">
        <v>5</v>
      </c>
      <c r="E46" s="12">
        <v>5</v>
      </c>
      <c r="F46" s="8">
        <v>5</v>
      </c>
      <c r="G46" s="81">
        <v>5</v>
      </c>
      <c r="H46" s="8">
        <f t="shared" si="0"/>
        <v>20</v>
      </c>
    </row>
    <row r="47" spans="1:8" ht="18.75">
      <c r="A47" s="30">
        <v>36</v>
      </c>
      <c r="B47" s="30" t="s">
        <v>147</v>
      </c>
      <c r="C47" s="31" t="s">
        <v>148</v>
      </c>
      <c r="D47" s="8">
        <v>5</v>
      </c>
      <c r="E47" s="12">
        <v>5</v>
      </c>
      <c r="F47" s="8">
        <v>4</v>
      </c>
      <c r="G47" s="81">
        <v>2</v>
      </c>
      <c r="H47" s="8">
        <f t="shared" si="0"/>
        <v>16</v>
      </c>
    </row>
    <row r="48" spans="1:8" ht="18.75">
      <c r="A48" s="30">
        <v>37</v>
      </c>
      <c r="B48" s="30" t="s">
        <v>149</v>
      </c>
      <c r="C48" s="31" t="s">
        <v>150</v>
      </c>
      <c r="D48" s="8">
        <v>5</v>
      </c>
      <c r="E48" s="12">
        <v>5</v>
      </c>
      <c r="F48" s="8">
        <v>5</v>
      </c>
      <c r="G48" s="81">
        <v>4</v>
      </c>
      <c r="H48" s="8">
        <f t="shared" si="0"/>
        <v>19</v>
      </c>
    </row>
    <row r="49" spans="1:8" ht="18.75">
      <c r="A49" s="30">
        <v>38</v>
      </c>
      <c r="B49" s="30" t="s">
        <v>151</v>
      </c>
      <c r="C49" s="31" t="s">
        <v>152</v>
      </c>
      <c r="D49" s="8">
        <v>5</v>
      </c>
      <c r="E49" s="12">
        <v>4</v>
      </c>
      <c r="F49" s="8">
        <v>4</v>
      </c>
      <c r="G49" s="81">
        <v>3</v>
      </c>
      <c r="H49" s="8">
        <f t="shared" si="0"/>
        <v>16</v>
      </c>
    </row>
    <row r="50" spans="1:8" ht="18.75">
      <c r="A50" s="30">
        <v>39</v>
      </c>
      <c r="B50" s="30" t="s">
        <v>153</v>
      </c>
      <c r="C50" s="31" t="s">
        <v>154</v>
      </c>
      <c r="D50" s="8">
        <v>5</v>
      </c>
      <c r="E50" s="12">
        <v>4</v>
      </c>
      <c r="F50" s="8">
        <v>3</v>
      </c>
      <c r="G50" s="81">
        <v>2</v>
      </c>
      <c r="H50" s="8">
        <f t="shared" si="0"/>
        <v>14</v>
      </c>
    </row>
    <row r="51" spans="1:8" ht="18.75">
      <c r="A51" s="30">
        <v>40</v>
      </c>
      <c r="B51" s="30" t="s">
        <v>155</v>
      </c>
      <c r="C51" s="31" t="s">
        <v>156</v>
      </c>
      <c r="D51" s="8">
        <v>5</v>
      </c>
      <c r="E51" s="12">
        <v>5</v>
      </c>
      <c r="F51" s="8">
        <v>5</v>
      </c>
      <c r="G51" s="81">
        <v>3</v>
      </c>
      <c r="H51" s="8">
        <f t="shared" si="0"/>
        <v>18</v>
      </c>
    </row>
    <row r="52" spans="1:8" ht="18.75">
      <c r="A52" s="30">
        <v>41</v>
      </c>
      <c r="B52" s="30" t="s">
        <v>157</v>
      </c>
      <c r="C52" s="31" t="s">
        <v>158</v>
      </c>
      <c r="D52" s="8">
        <v>5</v>
      </c>
      <c r="E52" s="12">
        <v>5</v>
      </c>
      <c r="F52" s="8">
        <v>5</v>
      </c>
      <c r="G52" s="81">
        <v>5</v>
      </c>
      <c r="H52" s="8">
        <f t="shared" si="0"/>
        <v>20</v>
      </c>
    </row>
    <row r="53" spans="1:8" ht="18.75">
      <c r="A53" s="30">
        <v>42</v>
      </c>
      <c r="B53" s="30" t="s">
        <v>159</v>
      </c>
      <c r="C53" s="31" t="s">
        <v>160</v>
      </c>
      <c r="D53" s="8">
        <v>5</v>
      </c>
      <c r="E53" s="12">
        <v>4</v>
      </c>
      <c r="F53" s="8">
        <v>4</v>
      </c>
      <c r="G53" s="81">
        <v>1</v>
      </c>
      <c r="H53" s="8">
        <f t="shared" si="0"/>
        <v>14</v>
      </c>
    </row>
    <row r="54" spans="1:8" ht="18.75">
      <c r="A54" s="30">
        <v>43</v>
      </c>
      <c r="B54" s="30" t="s">
        <v>161</v>
      </c>
      <c r="C54" s="31" t="s">
        <v>162</v>
      </c>
      <c r="D54" s="8">
        <v>5</v>
      </c>
      <c r="E54" s="12">
        <v>5</v>
      </c>
      <c r="F54" s="8">
        <v>5</v>
      </c>
      <c r="G54" s="81">
        <v>3</v>
      </c>
      <c r="H54" s="8">
        <f t="shared" si="0"/>
        <v>18</v>
      </c>
    </row>
    <row r="55" spans="1:8" ht="18.75">
      <c r="A55" s="30">
        <v>44</v>
      </c>
      <c r="B55" s="30" t="s">
        <v>163</v>
      </c>
      <c r="C55" s="31" t="s">
        <v>164</v>
      </c>
      <c r="D55" s="8">
        <v>5</v>
      </c>
      <c r="E55" s="12">
        <v>4</v>
      </c>
      <c r="F55" s="8">
        <v>3</v>
      </c>
      <c r="G55" s="81">
        <v>3</v>
      </c>
      <c r="H55" s="8">
        <f t="shared" si="0"/>
        <v>15</v>
      </c>
    </row>
    <row r="56" spans="1:8" ht="18.75">
      <c r="A56" s="30">
        <v>45</v>
      </c>
      <c r="B56" s="30" t="s">
        <v>165</v>
      </c>
      <c r="C56" s="31" t="s">
        <v>166</v>
      </c>
      <c r="D56" s="8">
        <v>5</v>
      </c>
      <c r="E56" s="12">
        <v>5</v>
      </c>
      <c r="F56" s="8">
        <v>4</v>
      </c>
      <c r="G56" s="81">
        <v>2</v>
      </c>
      <c r="H56" s="8">
        <f t="shared" si="0"/>
        <v>16</v>
      </c>
    </row>
    <row r="57" spans="1:8" ht="18.75">
      <c r="A57" s="30">
        <v>46</v>
      </c>
      <c r="B57" s="30" t="s">
        <v>167</v>
      </c>
      <c r="C57" s="31" t="s">
        <v>168</v>
      </c>
      <c r="D57" s="8">
        <v>5</v>
      </c>
      <c r="E57" s="12">
        <v>5</v>
      </c>
      <c r="F57" s="8">
        <v>4</v>
      </c>
      <c r="G57" s="81">
        <v>3</v>
      </c>
      <c r="H57" s="8">
        <f t="shared" si="0"/>
        <v>17</v>
      </c>
    </row>
    <row r="58" spans="1:8" ht="18.75">
      <c r="A58" s="30">
        <v>47</v>
      </c>
      <c r="B58" s="30" t="s">
        <v>169</v>
      </c>
      <c r="C58" s="31" t="s">
        <v>170</v>
      </c>
      <c r="D58" s="8">
        <v>5</v>
      </c>
      <c r="E58" s="12">
        <v>4</v>
      </c>
      <c r="F58" s="8">
        <v>4</v>
      </c>
      <c r="G58" s="81">
        <v>1</v>
      </c>
      <c r="H58" s="8">
        <f t="shared" si="0"/>
        <v>14</v>
      </c>
    </row>
    <row r="59" spans="1:8" ht="18.75">
      <c r="A59" s="30">
        <v>48</v>
      </c>
      <c r="B59" s="30" t="s">
        <v>171</v>
      </c>
      <c r="C59" s="31" t="s">
        <v>172</v>
      </c>
      <c r="D59" s="8">
        <v>5</v>
      </c>
      <c r="E59" s="12">
        <v>4</v>
      </c>
      <c r="F59" s="8">
        <v>3</v>
      </c>
      <c r="G59" s="81">
        <v>1</v>
      </c>
      <c r="H59" s="8">
        <f t="shared" si="0"/>
        <v>13</v>
      </c>
    </row>
    <row r="60" spans="1:8" ht="18.75">
      <c r="A60" s="30">
        <v>49</v>
      </c>
      <c r="B60" s="30" t="s">
        <v>173</v>
      </c>
      <c r="C60" s="31" t="s">
        <v>176</v>
      </c>
      <c r="D60" s="8">
        <v>5</v>
      </c>
      <c r="E60" s="12">
        <v>5</v>
      </c>
      <c r="F60" s="8">
        <v>4</v>
      </c>
      <c r="G60" s="81">
        <v>4</v>
      </c>
      <c r="H60" s="8">
        <f t="shared" si="0"/>
        <v>18</v>
      </c>
    </row>
    <row r="61" spans="1:8" ht="18.75">
      <c r="A61" s="30">
        <v>50</v>
      </c>
      <c r="B61" s="30" t="s">
        <v>174</v>
      </c>
      <c r="C61" s="31" t="s">
        <v>175</v>
      </c>
      <c r="D61" s="8">
        <v>5</v>
      </c>
      <c r="E61" s="12">
        <v>5</v>
      </c>
      <c r="F61" s="8">
        <v>4</v>
      </c>
      <c r="G61" s="81">
        <v>2</v>
      </c>
      <c r="H61" s="8">
        <f t="shared" si="0"/>
        <v>16</v>
      </c>
    </row>
    <row r="64" spans="1:8" ht="15.75">
      <c r="B64" s="9" t="s">
        <v>36</v>
      </c>
      <c r="D64" s="9" t="s">
        <v>37</v>
      </c>
      <c r="H64" s="9" t="s">
        <v>38</v>
      </c>
    </row>
    <row r="65" spans="2:8" ht="15.75">
      <c r="B65" s="11" t="s">
        <v>39</v>
      </c>
      <c r="D65" s="11" t="s">
        <v>40</v>
      </c>
      <c r="H65" s="11" t="s">
        <v>41</v>
      </c>
    </row>
  </sheetData>
  <mergeCells count="7">
    <mergeCell ref="A6:H6"/>
    <mergeCell ref="A8:B8"/>
    <mergeCell ref="D8:F8"/>
    <mergeCell ref="G8:H8"/>
    <mergeCell ref="A9:B9"/>
    <mergeCell ref="D9:F9"/>
    <mergeCell ref="G9:H9"/>
  </mergeCells>
  <pageMargins left="0.7" right="0.7" top="0.75" bottom="0.75" header="0.3" footer="0.3"/>
  <pageSetup scale="7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65"/>
  <sheetViews>
    <sheetView topLeftCell="A10" workbookViewId="0">
      <selection activeCell="H61" sqref="H12:H61"/>
    </sheetView>
  </sheetViews>
  <sheetFormatPr defaultColWidth="9" defaultRowHeight="15"/>
  <cols>
    <col min="1" max="1" width="6.28515625" customWidth="1"/>
    <col min="2" max="2" width="28.85546875" customWidth="1"/>
    <col min="3" max="3" width="36" customWidth="1"/>
    <col min="4" max="4" width="17.5703125" customWidth="1"/>
    <col min="5" max="5" width="16.7109375" customWidth="1"/>
    <col min="6" max="6" width="19.140625" customWidth="1"/>
    <col min="7" max="7" width="18.85546875" customWidth="1"/>
    <col min="8" max="8" width="24.28515625" customWidth="1"/>
  </cols>
  <sheetData>
    <row r="6" spans="1:8" ht="15.75">
      <c r="A6" s="84" t="s">
        <v>0</v>
      </c>
      <c r="B6" s="85"/>
      <c r="C6" s="85"/>
      <c r="D6" s="85"/>
      <c r="E6" s="85"/>
      <c r="F6" s="85"/>
      <c r="G6" s="85"/>
      <c r="H6" s="85"/>
    </row>
    <row r="7" spans="1:8">
      <c r="A7" s="1"/>
      <c r="B7" s="1"/>
      <c r="C7" s="1"/>
      <c r="D7" s="1"/>
      <c r="E7" s="1"/>
      <c r="F7" s="1"/>
      <c r="G7" s="1"/>
      <c r="H7" s="1"/>
    </row>
    <row r="8" spans="1:8" ht="15.75">
      <c r="A8" s="110" t="s">
        <v>63</v>
      </c>
      <c r="B8" s="111"/>
      <c r="C8" s="52" t="s">
        <v>201</v>
      </c>
      <c r="D8" s="111" t="s">
        <v>52</v>
      </c>
      <c r="E8" s="111"/>
      <c r="F8" s="111"/>
      <c r="G8" s="110" t="s">
        <v>220</v>
      </c>
      <c r="H8" s="111"/>
    </row>
    <row r="9" spans="1:8" ht="30.75" customHeight="1">
      <c r="A9" s="110" t="s">
        <v>200</v>
      </c>
      <c r="B9" s="111"/>
      <c r="C9" s="52" t="s">
        <v>202</v>
      </c>
      <c r="D9" s="111" t="s">
        <v>53</v>
      </c>
      <c r="E9" s="111"/>
      <c r="F9" s="111"/>
      <c r="G9" s="112" t="s">
        <v>207</v>
      </c>
      <c r="H9" s="113"/>
    </row>
    <row r="10" spans="1:8">
      <c r="A10" s="2"/>
      <c r="B10" s="2"/>
      <c r="C10" s="2"/>
      <c r="D10" s="3"/>
      <c r="E10" s="2"/>
      <c r="F10" s="2"/>
      <c r="G10" s="2"/>
      <c r="H10" s="2"/>
    </row>
    <row r="11" spans="1:8" ht="63">
      <c r="A11" s="4" t="s">
        <v>14</v>
      </c>
      <c r="B11" s="5" t="s">
        <v>15</v>
      </c>
      <c r="C11" s="5" t="s">
        <v>16</v>
      </c>
      <c r="D11" s="80" t="s">
        <v>224</v>
      </c>
      <c r="E11" s="80" t="s">
        <v>226</v>
      </c>
      <c r="F11" s="80" t="s">
        <v>227</v>
      </c>
      <c r="G11" s="6" t="s">
        <v>225</v>
      </c>
      <c r="H11" s="80" t="s">
        <v>208</v>
      </c>
    </row>
    <row r="12" spans="1:8" ht="18.75">
      <c r="A12" s="30">
        <v>1</v>
      </c>
      <c r="B12" s="30" t="s">
        <v>77</v>
      </c>
      <c r="C12" s="31" t="s">
        <v>78</v>
      </c>
      <c r="D12" s="83">
        <v>45</v>
      </c>
      <c r="E12" s="12">
        <v>20</v>
      </c>
      <c r="F12" s="8">
        <v>20</v>
      </c>
      <c r="G12" s="81">
        <v>10</v>
      </c>
      <c r="H12" s="8">
        <f>SUM(D12:G12)</f>
        <v>95</v>
      </c>
    </row>
    <row r="13" spans="1:8" ht="18.75">
      <c r="A13" s="30">
        <v>2</v>
      </c>
      <c r="B13" s="30" t="s">
        <v>79</v>
      </c>
      <c r="C13" s="31" t="s">
        <v>80</v>
      </c>
      <c r="D13" s="83">
        <v>47</v>
      </c>
      <c r="E13" s="12">
        <v>20</v>
      </c>
      <c r="F13" s="8">
        <v>20</v>
      </c>
      <c r="G13" s="81">
        <v>6</v>
      </c>
      <c r="H13" s="8">
        <f t="shared" ref="H13:H61" si="0">SUM(D13:G13)</f>
        <v>93</v>
      </c>
    </row>
    <row r="14" spans="1:8" ht="18.75">
      <c r="A14" s="30">
        <v>3</v>
      </c>
      <c r="B14" s="30" t="s">
        <v>81</v>
      </c>
      <c r="C14" s="31" t="s">
        <v>82</v>
      </c>
      <c r="D14" s="83">
        <v>41</v>
      </c>
      <c r="E14" s="12">
        <v>19</v>
      </c>
      <c r="F14" s="8">
        <v>19</v>
      </c>
      <c r="G14" s="81">
        <v>8</v>
      </c>
      <c r="H14" s="8">
        <f t="shared" si="0"/>
        <v>87</v>
      </c>
    </row>
    <row r="15" spans="1:8" ht="18.75">
      <c r="A15" s="30">
        <v>4</v>
      </c>
      <c r="B15" s="30" t="s">
        <v>83</v>
      </c>
      <c r="C15" s="31" t="s">
        <v>84</v>
      </c>
      <c r="D15" s="83">
        <v>40</v>
      </c>
      <c r="E15" s="12">
        <v>20</v>
      </c>
      <c r="F15" s="8">
        <v>20</v>
      </c>
      <c r="G15" s="81">
        <v>6</v>
      </c>
      <c r="H15" s="8">
        <f t="shared" si="0"/>
        <v>86</v>
      </c>
    </row>
    <row r="16" spans="1:8" ht="18.75">
      <c r="A16" s="30">
        <v>5</v>
      </c>
      <c r="B16" s="30" t="s">
        <v>85</v>
      </c>
      <c r="C16" s="31" t="s">
        <v>86</v>
      </c>
      <c r="D16" s="83">
        <v>41</v>
      </c>
      <c r="E16" s="12">
        <v>20</v>
      </c>
      <c r="F16" s="8">
        <v>20</v>
      </c>
      <c r="G16" s="81">
        <v>4</v>
      </c>
      <c r="H16" s="8">
        <f t="shared" si="0"/>
        <v>85</v>
      </c>
    </row>
    <row r="17" spans="1:8" ht="18.75">
      <c r="A17" s="30">
        <v>6</v>
      </c>
      <c r="B17" s="30" t="s">
        <v>87</v>
      </c>
      <c r="C17" s="31" t="s">
        <v>88</v>
      </c>
      <c r="D17" s="83">
        <v>45</v>
      </c>
      <c r="E17" s="12">
        <v>20</v>
      </c>
      <c r="F17" s="8">
        <v>20</v>
      </c>
      <c r="G17" s="81">
        <v>8</v>
      </c>
      <c r="H17" s="8">
        <f t="shared" si="0"/>
        <v>93</v>
      </c>
    </row>
    <row r="18" spans="1:8" ht="18.75">
      <c r="A18" s="30">
        <v>7</v>
      </c>
      <c r="B18" s="30" t="s">
        <v>89</v>
      </c>
      <c r="C18" s="31" t="s">
        <v>90</v>
      </c>
      <c r="D18" s="83">
        <v>44</v>
      </c>
      <c r="E18" s="12">
        <v>20</v>
      </c>
      <c r="F18" s="8">
        <v>20</v>
      </c>
      <c r="G18" s="81">
        <v>8</v>
      </c>
      <c r="H18" s="8">
        <f t="shared" si="0"/>
        <v>92</v>
      </c>
    </row>
    <row r="19" spans="1:8" ht="18.75">
      <c r="A19" s="30">
        <v>8</v>
      </c>
      <c r="B19" s="30" t="s">
        <v>91</v>
      </c>
      <c r="C19" s="31" t="s">
        <v>92</v>
      </c>
      <c r="D19" s="83">
        <v>46</v>
      </c>
      <c r="E19" s="12">
        <v>20</v>
      </c>
      <c r="F19" s="8">
        <v>20</v>
      </c>
      <c r="G19" s="81">
        <v>8</v>
      </c>
      <c r="H19" s="8">
        <f t="shared" si="0"/>
        <v>94</v>
      </c>
    </row>
    <row r="20" spans="1:8" ht="18.75">
      <c r="A20" s="30">
        <v>9</v>
      </c>
      <c r="B20" s="30" t="s">
        <v>93</v>
      </c>
      <c r="C20" s="31" t="s">
        <v>94</v>
      </c>
      <c r="D20" s="83">
        <v>41</v>
      </c>
      <c r="E20" s="12">
        <v>20</v>
      </c>
      <c r="F20" s="8">
        <v>19</v>
      </c>
      <c r="G20" s="81">
        <v>10</v>
      </c>
      <c r="H20" s="8">
        <f t="shared" si="0"/>
        <v>90</v>
      </c>
    </row>
    <row r="21" spans="1:8" ht="18.75">
      <c r="A21" s="30">
        <v>10</v>
      </c>
      <c r="B21" s="30" t="s">
        <v>95</v>
      </c>
      <c r="C21" s="31" t="s">
        <v>96</v>
      </c>
      <c r="D21" s="83">
        <v>40</v>
      </c>
      <c r="E21" s="12">
        <v>19</v>
      </c>
      <c r="F21" s="8">
        <v>19</v>
      </c>
      <c r="G21" s="81">
        <v>6</v>
      </c>
      <c r="H21" s="8">
        <f t="shared" si="0"/>
        <v>84</v>
      </c>
    </row>
    <row r="22" spans="1:8" ht="18.75">
      <c r="A22" s="30">
        <v>11</v>
      </c>
      <c r="B22" s="30" t="s">
        <v>97</v>
      </c>
      <c r="C22" s="31" t="s">
        <v>98</v>
      </c>
      <c r="D22" s="83">
        <v>37</v>
      </c>
      <c r="E22" s="12">
        <v>20</v>
      </c>
      <c r="F22" s="8">
        <v>20</v>
      </c>
      <c r="G22" s="81">
        <v>4</v>
      </c>
      <c r="H22" s="8">
        <f t="shared" si="0"/>
        <v>81</v>
      </c>
    </row>
    <row r="23" spans="1:8" ht="18.75">
      <c r="A23" s="30">
        <v>12</v>
      </c>
      <c r="B23" s="30" t="s">
        <v>99</v>
      </c>
      <c r="C23" s="31" t="s">
        <v>100</v>
      </c>
      <c r="D23" s="83">
        <v>41</v>
      </c>
      <c r="E23" s="12">
        <v>20</v>
      </c>
      <c r="F23" s="8">
        <v>19</v>
      </c>
      <c r="G23" s="81">
        <v>6</v>
      </c>
      <c r="H23" s="8">
        <f t="shared" si="0"/>
        <v>86</v>
      </c>
    </row>
    <row r="24" spans="1:8" ht="18.75">
      <c r="A24" s="30">
        <v>13</v>
      </c>
      <c r="B24" s="30" t="s">
        <v>101</v>
      </c>
      <c r="C24" s="31" t="s">
        <v>102</v>
      </c>
      <c r="D24" s="83">
        <v>42</v>
      </c>
      <c r="E24" s="12">
        <v>19</v>
      </c>
      <c r="F24" s="8">
        <v>19</v>
      </c>
      <c r="G24" s="81">
        <v>0</v>
      </c>
      <c r="H24" s="8">
        <f t="shared" si="0"/>
        <v>80</v>
      </c>
    </row>
    <row r="25" spans="1:8" ht="18.75">
      <c r="A25" s="30">
        <v>14</v>
      </c>
      <c r="B25" s="30" t="s">
        <v>103</v>
      </c>
      <c r="C25" s="31" t="s">
        <v>104</v>
      </c>
      <c r="D25" s="83">
        <v>44</v>
      </c>
      <c r="E25" s="12">
        <v>20</v>
      </c>
      <c r="F25" s="8">
        <v>20</v>
      </c>
      <c r="G25" s="81">
        <v>10</v>
      </c>
      <c r="H25" s="8">
        <f t="shared" si="0"/>
        <v>94</v>
      </c>
    </row>
    <row r="26" spans="1:8" ht="18.75">
      <c r="A26" s="30">
        <v>15</v>
      </c>
      <c r="B26" s="30" t="s">
        <v>105</v>
      </c>
      <c r="C26" s="31" t="s">
        <v>106</v>
      </c>
      <c r="D26" s="83">
        <v>44</v>
      </c>
      <c r="E26" s="12">
        <v>20</v>
      </c>
      <c r="F26" s="8">
        <v>20</v>
      </c>
      <c r="G26" s="81">
        <v>6</v>
      </c>
      <c r="H26" s="8">
        <f t="shared" si="0"/>
        <v>90</v>
      </c>
    </row>
    <row r="27" spans="1:8" ht="18.75">
      <c r="A27" s="30">
        <v>16</v>
      </c>
      <c r="B27" s="30" t="s">
        <v>107</v>
      </c>
      <c r="C27" s="31" t="s">
        <v>108</v>
      </c>
      <c r="D27" s="83">
        <v>42</v>
      </c>
      <c r="E27" s="12">
        <v>19</v>
      </c>
      <c r="F27" s="8">
        <v>19</v>
      </c>
      <c r="G27" s="81">
        <v>0</v>
      </c>
      <c r="H27" s="8">
        <f t="shared" si="0"/>
        <v>80</v>
      </c>
    </row>
    <row r="28" spans="1:8" ht="18.75">
      <c r="A28" s="30">
        <v>17</v>
      </c>
      <c r="B28" s="30" t="s">
        <v>109</v>
      </c>
      <c r="C28" s="31" t="s">
        <v>110</v>
      </c>
      <c r="D28" s="83">
        <v>46</v>
      </c>
      <c r="E28" s="12">
        <v>20</v>
      </c>
      <c r="F28" s="8">
        <v>20</v>
      </c>
      <c r="G28" s="81">
        <v>8</v>
      </c>
      <c r="H28" s="8">
        <f t="shared" si="0"/>
        <v>94</v>
      </c>
    </row>
    <row r="29" spans="1:8" ht="18.75">
      <c r="A29" s="30">
        <v>18</v>
      </c>
      <c r="B29" s="30" t="s">
        <v>111</v>
      </c>
      <c r="C29" s="31" t="s">
        <v>112</v>
      </c>
      <c r="D29" s="83">
        <v>40</v>
      </c>
      <c r="E29" s="12">
        <v>20</v>
      </c>
      <c r="F29" s="8">
        <v>20</v>
      </c>
      <c r="G29" s="81">
        <v>4</v>
      </c>
      <c r="H29" s="8">
        <f t="shared" si="0"/>
        <v>84</v>
      </c>
    </row>
    <row r="30" spans="1:8" ht="18.75">
      <c r="A30" s="30">
        <v>19</v>
      </c>
      <c r="B30" s="30" t="s">
        <v>113</v>
      </c>
      <c r="C30" s="31" t="s">
        <v>114</v>
      </c>
      <c r="D30" s="83">
        <v>45</v>
      </c>
      <c r="E30" s="12">
        <v>20</v>
      </c>
      <c r="F30" s="8">
        <v>20</v>
      </c>
      <c r="G30" s="81">
        <v>8</v>
      </c>
      <c r="H30" s="8">
        <f t="shared" si="0"/>
        <v>93</v>
      </c>
    </row>
    <row r="31" spans="1:8" ht="18.75">
      <c r="A31" s="30">
        <v>20</v>
      </c>
      <c r="B31" s="30" t="s">
        <v>115</v>
      </c>
      <c r="C31" s="31" t="s">
        <v>116</v>
      </c>
      <c r="D31" s="83">
        <v>44</v>
      </c>
      <c r="E31" s="12">
        <v>20</v>
      </c>
      <c r="F31" s="8">
        <v>18</v>
      </c>
      <c r="G31" s="81">
        <v>8</v>
      </c>
      <c r="H31" s="8">
        <f t="shared" si="0"/>
        <v>90</v>
      </c>
    </row>
    <row r="32" spans="1:8" ht="18.75">
      <c r="A32" s="30">
        <v>21</v>
      </c>
      <c r="B32" s="30" t="s">
        <v>117</v>
      </c>
      <c r="C32" s="31" t="s">
        <v>118</v>
      </c>
      <c r="D32" s="83">
        <v>41</v>
      </c>
      <c r="E32" s="12">
        <v>20</v>
      </c>
      <c r="F32" s="8">
        <v>19</v>
      </c>
      <c r="G32" s="81">
        <v>6</v>
      </c>
      <c r="H32" s="8">
        <f t="shared" si="0"/>
        <v>86</v>
      </c>
    </row>
    <row r="33" spans="1:8" ht="18.75">
      <c r="A33" s="30">
        <v>22</v>
      </c>
      <c r="B33" s="30" t="s">
        <v>119</v>
      </c>
      <c r="C33" s="31" t="s">
        <v>120</v>
      </c>
      <c r="D33" s="83">
        <v>38</v>
      </c>
      <c r="E33" s="12">
        <v>20</v>
      </c>
      <c r="F33" s="8">
        <v>19</v>
      </c>
      <c r="G33" s="81">
        <v>4</v>
      </c>
      <c r="H33" s="8">
        <f t="shared" si="0"/>
        <v>81</v>
      </c>
    </row>
    <row r="34" spans="1:8" ht="18.75">
      <c r="A34" s="30">
        <v>23</v>
      </c>
      <c r="B34" s="30" t="s">
        <v>121</v>
      </c>
      <c r="C34" s="31" t="s">
        <v>122</v>
      </c>
      <c r="D34" s="83">
        <v>48</v>
      </c>
      <c r="E34" s="12">
        <v>20</v>
      </c>
      <c r="F34" s="8">
        <v>20</v>
      </c>
      <c r="G34" s="81">
        <v>10</v>
      </c>
      <c r="H34" s="8">
        <f t="shared" si="0"/>
        <v>98</v>
      </c>
    </row>
    <row r="35" spans="1:8" ht="18.75">
      <c r="A35" s="30">
        <v>24</v>
      </c>
      <c r="B35" s="30" t="s">
        <v>123</v>
      </c>
      <c r="C35" s="31" t="s">
        <v>124</v>
      </c>
      <c r="D35" s="83">
        <v>46</v>
      </c>
      <c r="E35" s="12">
        <v>20</v>
      </c>
      <c r="F35" s="8">
        <v>19</v>
      </c>
      <c r="G35" s="81">
        <v>8</v>
      </c>
      <c r="H35" s="8">
        <f t="shared" si="0"/>
        <v>93</v>
      </c>
    </row>
    <row r="36" spans="1:8" ht="18.75">
      <c r="A36" s="30">
        <v>25</v>
      </c>
      <c r="B36" s="30" t="s">
        <v>125</v>
      </c>
      <c r="C36" s="31" t="s">
        <v>126</v>
      </c>
      <c r="D36" s="83">
        <v>39</v>
      </c>
      <c r="E36" s="12">
        <v>19</v>
      </c>
      <c r="F36" s="8">
        <v>20</v>
      </c>
      <c r="G36" s="81">
        <v>8</v>
      </c>
      <c r="H36" s="8">
        <f t="shared" si="0"/>
        <v>86</v>
      </c>
    </row>
    <row r="37" spans="1:8" ht="18.75">
      <c r="A37" s="30">
        <v>26</v>
      </c>
      <c r="B37" s="30" t="s">
        <v>127</v>
      </c>
      <c r="C37" s="31" t="s">
        <v>128</v>
      </c>
      <c r="D37" s="83">
        <v>40</v>
      </c>
      <c r="E37" s="12">
        <v>20</v>
      </c>
      <c r="F37" s="8">
        <v>18</v>
      </c>
      <c r="G37" s="81">
        <v>4</v>
      </c>
      <c r="H37" s="8">
        <f t="shared" si="0"/>
        <v>82</v>
      </c>
    </row>
    <row r="38" spans="1:8" ht="18.75">
      <c r="A38" s="30">
        <v>27</v>
      </c>
      <c r="B38" s="30" t="s">
        <v>129</v>
      </c>
      <c r="C38" s="31" t="s">
        <v>130</v>
      </c>
      <c r="D38" s="83">
        <v>41</v>
      </c>
      <c r="E38" s="12">
        <v>19</v>
      </c>
      <c r="F38" s="8">
        <v>18</v>
      </c>
      <c r="G38" s="81">
        <v>6</v>
      </c>
      <c r="H38" s="8">
        <f t="shared" si="0"/>
        <v>84</v>
      </c>
    </row>
    <row r="39" spans="1:8" ht="18.75">
      <c r="A39" s="30">
        <v>28</v>
      </c>
      <c r="B39" s="30" t="s">
        <v>131</v>
      </c>
      <c r="C39" s="31" t="s">
        <v>132</v>
      </c>
      <c r="D39" s="83">
        <v>43</v>
      </c>
      <c r="E39" s="12">
        <v>20</v>
      </c>
      <c r="F39" s="8">
        <v>20</v>
      </c>
      <c r="G39" s="81">
        <v>4</v>
      </c>
      <c r="H39" s="8">
        <f t="shared" si="0"/>
        <v>87</v>
      </c>
    </row>
    <row r="40" spans="1:8" ht="18.75">
      <c r="A40" s="30">
        <v>29</v>
      </c>
      <c r="B40" s="30" t="s">
        <v>133</v>
      </c>
      <c r="C40" s="31" t="s">
        <v>134</v>
      </c>
      <c r="D40" s="83">
        <v>41</v>
      </c>
      <c r="E40" s="12">
        <v>20</v>
      </c>
      <c r="F40" s="8">
        <v>20</v>
      </c>
      <c r="G40" s="81">
        <v>4</v>
      </c>
      <c r="H40" s="8">
        <f t="shared" si="0"/>
        <v>85</v>
      </c>
    </row>
    <row r="41" spans="1:8" ht="18.75">
      <c r="A41" s="30">
        <v>30</v>
      </c>
      <c r="B41" s="30" t="s">
        <v>135</v>
      </c>
      <c r="C41" s="31" t="s">
        <v>136</v>
      </c>
      <c r="D41" s="83">
        <v>47</v>
      </c>
      <c r="E41" s="12">
        <v>20</v>
      </c>
      <c r="F41" s="8">
        <v>20</v>
      </c>
      <c r="G41" s="81">
        <v>10</v>
      </c>
      <c r="H41" s="8">
        <f t="shared" si="0"/>
        <v>97</v>
      </c>
    </row>
    <row r="42" spans="1:8" ht="18.75">
      <c r="A42" s="30">
        <v>31</v>
      </c>
      <c r="B42" s="30" t="s">
        <v>137</v>
      </c>
      <c r="C42" s="31" t="s">
        <v>138</v>
      </c>
      <c r="D42" s="83">
        <v>45</v>
      </c>
      <c r="E42" s="12">
        <v>20</v>
      </c>
      <c r="F42" s="8">
        <v>20</v>
      </c>
      <c r="G42" s="81">
        <v>6</v>
      </c>
      <c r="H42" s="8">
        <f t="shared" si="0"/>
        <v>91</v>
      </c>
    </row>
    <row r="43" spans="1:8" ht="18.75">
      <c r="A43" s="30">
        <v>32</v>
      </c>
      <c r="B43" s="30" t="s">
        <v>139</v>
      </c>
      <c r="C43" s="31" t="s">
        <v>140</v>
      </c>
      <c r="D43" s="83">
        <v>46</v>
      </c>
      <c r="E43" s="12">
        <v>20</v>
      </c>
      <c r="F43" s="8">
        <v>20</v>
      </c>
      <c r="G43" s="81">
        <v>8</v>
      </c>
      <c r="H43" s="8">
        <f t="shared" si="0"/>
        <v>94</v>
      </c>
    </row>
    <row r="44" spans="1:8" ht="18.75">
      <c r="A44" s="30">
        <v>33</v>
      </c>
      <c r="B44" s="30" t="s">
        <v>141</v>
      </c>
      <c r="C44" s="31" t="s">
        <v>142</v>
      </c>
      <c r="D44" s="83">
        <v>41</v>
      </c>
      <c r="E44" s="12">
        <v>20</v>
      </c>
      <c r="F44" s="8">
        <v>20</v>
      </c>
      <c r="G44" s="81">
        <v>6</v>
      </c>
      <c r="H44" s="8">
        <f t="shared" si="0"/>
        <v>87</v>
      </c>
    </row>
    <row r="45" spans="1:8" ht="18.75">
      <c r="A45" s="30">
        <v>34</v>
      </c>
      <c r="B45" s="30" t="s">
        <v>143</v>
      </c>
      <c r="C45" s="31" t="s">
        <v>144</v>
      </c>
      <c r="D45" s="83">
        <v>44</v>
      </c>
      <c r="E45" s="12">
        <v>20</v>
      </c>
      <c r="F45" s="8">
        <v>20</v>
      </c>
      <c r="G45" s="81">
        <v>8</v>
      </c>
      <c r="H45" s="8">
        <f t="shared" si="0"/>
        <v>92</v>
      </c>
    </row>
    <row r="46" spans="1:8" ht="18.75">
      <c r="A46" s="30">
        <v>35</v>
      </c>
      <c r="B46" s="30" t="s">
        <v>145</v>
      </c>
      <c r="C46" s="31" t="s">
        <v>146</v>
      </c>
      <c r="D46" s="83">
        <v>41</v>
      </c>
      <c r="E46" s="12">
        <v>19</v>
      </c>
      <c r="F46" s="8">
        <v>19</v>
      </c>
      <c r="G46" s="81">
        <v>10</v>
      </c>
      <c r="H46" s="8">
        <f t="shared" si="0"/>
        <v>89</v>
      </c>
    </row>
    <row r="47" spans="1:8" ht="18.75">
      <c r="A47" s="30">
        <v>36</v>
      </c>
      <c r="B47" s="30" t="s">
        <v>147</v>
      </c>
      <c r="C47" s="31" t="s">
        <v>148</v>
      </c>
      <c r="D47" s="83">
        <v>40</v>
      </c>
      <c r="E47" s="12">
        <v>20</v>
      </c>
      <c r="F47" s="8">
        <v>19</v>
      </c>
      <c r="G47" s="81">
        <v>4</v>
      </c>
      <c r="H47" s="8">
        <f t="shared" si="0"/>
        <v>83</v>
      </c>
    </row>
    <row r="48" spans="1:8" ht="18.75">
      <c r="A48" s="30">
        <v>37</v>
      </c>
      <c r="B48" s="30" t="s">
        <v>149</v>
      </c>
      <c r="C48" s="31" t="s">
        <v>150</v>
      </c>
      <c r="D48" s="83">
        <v>45</v>
      </c>
      <c r="E48" s="12">
        <v>20</v>
      </c>
      <c r="F48" s="8">
        <v>20</v>
      </c>
      <c r="G48" s="81">
        <v>8</v>
      </c>
      <c r="H48" s="8">
        <f t="shared" si="0"/>
        <v>93</v>
      </c>
    </row>
    <row r="49" spans="1:8" ht="18.75">
      <c r="A49" s="30">
        <v>38</v>
      </c>
      <c r="B49" s="30" t="s">
        <v>151</v>
      </c>
      <c r="C49" s="31" t="s">
        <v>152</v>
      </c>
      <c r="D49" s="83">
        <v>44</v>
      </c>
      <c r="E49" s="12">
        <v>20</v>
      </c>
      <c r="F49" s="8">
        <v>20</v>
      </c>
      <c r="G49" s="81">
        <v>6</v>
      </c>
      <c r="H49" s="8">
        <f t="shared" si="0"/>
        <v>90</v>
      </c>
    </row>
    <row r="50" spans="1:8" ht="18.75">
      <c r="A50" s="30">
        <v>39</v>
      </c>
      <c r="B50" s="30" t="s">
        <v>153</v>
      </c>
      <c r="C50" s="31" t="s">
        <v>154</v>
      </c>
      <c r="D50" s="83">
        <v>40</v>
      </c>
      <c r="E50" s="12">
        <v>19</v>
      </c>
      <c r="F50" s="8">
        <v>19</v>
      </c>
      <c r="G50" s="81">
        <v>4</v>
      </c>
      <c r="H50" s="8">
        <f t="shared" si="0"/>
        <v>82</v>
      </c>
    </row>
    <row r="51" spans="1:8" ht="18.75">
      <c r="A51" s="30">
        <v>40</v>
      </c>
      <c r="B51" s="30" t="s">
        <v>155</v>
      </c>
      <c r="C51" s="31" t="s">
        <v>156</v>
      </c>
      <c r="D51" s="83">
        <v>46</v>
      </c>
      <c r="E51" s="12">
        <v>20</v>
      </c>
      <c r="F51" s="8">
        <v>20</v>
      </c>
      <c r="G51" s="81">
        <v>6</v>
      </c>
      <c r="H51" s="8">
        <f t="shared" si="0"/>
        <v>92</v>
      </c>
    </row>
    <row r="52" spans="1:8" ht="18.75">
      <c r="A52" s="30">
        <v>41</v>
      </c>
      <c r="B52" s="30" t="s">
        <v>157</v>
      </c>
      <c r="C52" s="31" t="s">
        <v>158</v>
      </c>
      <c r="D52" s="83">
        <v>42</v>
      </c>
      <c r="E52" s="12">
        <v>20</v>
      </c>
      <c r="F52" s="8">
        <v>20</v>
      </c>
      <c r="G52" s="81">
        <v>10</v>
      </c>
      <c r="H52" s="8">
        <f t="shared" si="0"/>
        <v>92</v>
      </c>
    </row>
    <row r="53" spans="1:8" ht="18.75">
      <c r="A53" s="30">
        <v>42</v>
      </c>
      <c r="B53" s="30" t="s">
        <v>159</v>
      </c>
      <c r="C53" s="31" t="s">
        <v>160</v>
      </c>
      <c r="D53" s="83">
        <v>39</v>
      </c>
      <c r="E53" s="12">
        <v>20</v>
      </c>
      <c r="F53" s="8">
        <v>19</v>
      </c>
      <c r="G53" s="81">
        <v>2</v>
      </c>
      <c r="H53" s="8">
        <f t="shared" si="0"/>
        <v>80</v>
      </c>
    </row>
    <row r="54" spans="1:8" ht="18.75">
      <c r="A54" s="30">
        <v>43</v>
      </c>
      <c r="B54" s="30" t="s">
        <v>161</v>
      </c>
      <c r="C54" s="31" t="s">
        <v>162</v>
      </c>
      <c r="D54" s="83">
        <v>40</v>
      </c>
      <c r="E54" s="12">
        <v>19</v>
      </c>
      <c r="F54" s="8">
        <v>19</v>
      </c>
      <c r="G54" s="81">
        <v>6</v>
      </c>
      <c r="H54" s="8">
        <f t="shared" si="0"/>
        <v>84</v>
      </c>
    </row>
    <row r="55" spans="1:8" ht="18.75">
      <c r="A55" s="30">
        <v>44</v>
      </c>
      <c r="B55" s="30" t="s">
        <v>163</v>
      </c>
      <c r="C55" s="31" t="s">
        <v>164</v>
      </c>
      <c r="D55" s="83">
        <v>39</v>
      </c>
      <c r="E55" s="12">
        <v>19</v>
      </c>
      <c r="F55" s="8">
        <v>18</v>
      </c>
      <c r="G55" s="81">
        <v>6</v>
      </c>
      <c r="H55" s="8">
        <f t="shared" si="0"/>
        <v>82</v>
      </c>
    </row>
    <row r="56" spans="1:8" ht="18.75">
      <c r="A56" s="30">
        <v>45</v>
      </c>
      <c r="B56" s="30" t="s">
        <v>165</v>
      </c>
      <c r="C56" s="31" t="s">
        <v>166</v>
      </c>
      <c r="D56" s="83">
        <v>37</v>
      </c>
      <c r="E56" s="12">
        <v>20</v>
      </c>
      <c r="F56" s="8">
        <v>19</v>
      </c>
      <c r="G56" s="81">
        <v>4</v>
      </c>
      <c r="H56" s="8">
        <f t="shared" si="0"/>
        <v>80</v>
      </c>
    </row>
    <row r="57" spans="1:8" ht="18.75">
      <c r="A57" s="30">
        <v>46</v>
      </c>
      <c r="B57" s="30" t="s">
        <v>167</v>
      </c>
      <c r="C57" s="31" t="s">
        <v>168</v>
      </c>
      <c r="D57" s="83">
        <v>40</v>
      </c>
      <c r="E57" s="12">
        <v>20</v>
      </c>
      <c r="F57" s="8">
        <v>19</v>
      </c>
      <c r="G57" s="81">
        <v>6</v>
      </c>
      <c r="H57" s="8">
        <f t="shared" si="0"/>
        <v>85</v>
      </c>
    </row>
    <row r="58" spans="1:8" ht="18.75">
      <c r="A58" s="30">
        <v>47</v>
      </c>
      <c r="B58" s="30" t="s">
        <v>169</v>
      </c>
      <c r="C58" s="31" t="s">
        <v>170</v>
      </c>
      <c r="D58" s="83">
        <v>40</v>
      </c>
      <c r="E58" s="12">
        <v>19</v>
      </c>
      <c r="F58" s="8">
        <v>19</v>
      </c>
      <c r="G58" s="81">
        <v>2</v>
      </c>
      <c r="H58" s="8">
        <f t="shared" si="0"/>
        <v>80</v>
      </c>
    </row>
    <row r="59" spans="1:8" ht="18.75">
      <c r="A59" s="30">
        <v>48</v>
      </c>
      <c r="B59" s="30" t="s">
        <v>171</v>
      </c>
      <c r="C59" s="31" t="s">
        <v>172</v>
      </c>
      <c r="D59" s="83">
        <v>39</v>
      </c>
      <c r="E59" s="12">
        <v>20</v>
      </c>
      <c r="F59" s="8">
        <v>19</v>
      </c>
      <c r="G59" s="81">
        <v>2</v>
      </c>
      <c r="H59" s="8">
        <f t="shared" si="0"/>
        <v>80</v>
      </c>
    </row>
    <row r="60" spans="1:8" ht="18.75">
      <c r="A60" s="30">
        <v>49</v>
      </c>
      <c r="B60" s="30" t="s">
        <v>173</v>
      </c>
      <c r="C60" s="31" t="s">
        <v>176</v>
      </c>
      <c r="D60" s="83">
        <v>42</v>
      </c>
      <c r="E60" s="12">
        <v>20</v>
      </c>
      <c r="F60" s="8">
        <v>19</v>
      </c>
      <c r="G60" s="81">
        <v>8</v>
      </c>
      <c r="H60" s="8">
        <f t="shared" si="0"/>
        <v>89</v>
      </c>
    </row>
    <row r="61" spans="1:8" ht="18.75">
      <c r="A61" s="30">
        <v>50</v>
      </c>
      <c r="B61" s="30" t="s">
        <v>174</v>
      </c>
      <c r="C61" s="31" t="s">
        <v>175</v>
      </c>
      <c r="D61" s="83">
        <v>38</v>
      </c>
      <c r="E61" s="12">
        <v>20</v>
      </c>
      <c r="F61" s="8">
        <v>20</v>
      </c>
      <c r="G61" s="81">
        <v>4</v>
      </c>
      <c r="H61" s="8">
        <f t="shared" si="0"/>
        <v>82</v>
      </c>
    </row>
    <row r="64" spans="1:8" ht="15.75">
      <c r="B64" s="9" t="s">
        <v>36</v>
      </c>
      <c r="D64" s="9" t="s">
        <v>37</v>
      </c>
      <c r="H64" s="9" t="s">
        <v>38</v>
      </c>
    </row>
    <row r="65" spans="2:8" ht="15.75">
      <c r="B65" s="11" t="s">
        <v>39</v>
      </c>
      <c r="D65" s="11" t="s">
        <v>40</v>
      </c>
      <c r="H65" s="11" t="s">
        <v>41</v>
      </c>
    </row>
  </sheetData>
  <mergeCells count="7">
    <mergeCell ref="A6:H6"/>
    <mergeCell ref="A8:B8"/>
    <mergeCell ref="D8:F8"/>
    <mergeCell ref="G8:H8"/>
    <mergeCell ref="A9:B9"/>
    <mergeCell ref="D9:F9"/>
    <mergeCell ref="G9:H9"/>
  </mergeCells>
  <conditionalFormatting sqref="D12:D61">
    <cfRule type="cellIs" dxfId="0" priority="2" operator="lessThan">
      <formula>24</formula>
    </cfRule>
  </conditionalFormatting>
  <pageMargins left="0.7" right="0.7" top="0.75" bottom="0.75" header="0.3" footer="0.3"/>
  <pageSetup scale="7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66"/>
  <sheetViews>
    <sheetView topLeftCell="A10" workbookViewId="0">
      <selection activeCell="I61" sqref="I12:I61"/>
    </sheetView>
  </sheetViews>
  <sheetFormatPr defaultColWidth="9" defaultRowHeight="15"/>
  <cols>
    <col min="1" max="1" width="6.28515625" customWidth="1"/>
    <col min="2" max="2" width="28.85546875" customWidth="1"/>
    <col min="3" max="3" width="36" customWidth="1"/>
    <col min="4" max="4" width="15" customWidth="1"/>
    <col min="5" max="5" width="12.140625" customWidth="1"/>
    <col min="6" max="6" width="12.42578125" customWidth="1"/>
    <col min="7" max="7" width="15.7109375" customWidth="1"/>
    <col min="8" max="8" width="14.140625" customWidth="1"/>
    <col min="9" max="9" width="20.85546875" customWidth="1"/>
  </cols>
  <sheetData>
    <row r="6" spans="1:9" ht="15.75">
      <c r="A6" s="84" t="s">
        <v>0</v>
      </c>
      <c r="B6" s="85"/>
      <c r="C6" s="85"/>
      <c r="D6" s="85"/>
      <c r="E6" s="85"/>
      <c r="F6" s="85"/>
      <c r="G6" s="85"/>
      <c r="H6" s="85"/>
      <c r="I6" s="85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 ht="15.75">
      <c r="A8" s="110" t="s">
        <v>63</v>
      </c>
      <c r="B8" s="111"/>
      <c r="C8" s="55" t="s">
        <v>201</v>
      </c>
      <c r="D8" s="111" t="s">
        <v>52</v>
      </c>
      <c r="E8" s="111"/>
      <c r="F8" s="111"/>
      <c r="G8" s="111"/>
      <c r="H8" s="110" t="s">
        <v>223</v>
      </c>
      <c r="I8" s="111"/>
    </row>
    <row r="9" spans="1:9" ht="30.75" customHeight="1">
      <c r="A9" s="110" t="s">
        <v>200</v>
      </c>
      <c r="B9" s="111"/>
      <c r="C9" s="55" t="s">
        <v>202</v>
      </c>
      <c r="D9" s="111" t="s">
        <v>53</v>
      </c>
      <c r="E9" s="111"/>
      <c r="F9" s="111"/>
      <c r="G9" s="111"/>
      <c r="H9" s="112" t="s">
        <v>215</v>
      </c>
      <c r="I9" s="113"/>
    </row>
    <row r="10" spans="1:9">
      <c r="A10" s="2"/>
      <c r="B10" s="2"/>
      <c r="C10" s="2"/>
      <c r="D10" s="3"/>
      <c r="E10" s="3"/>
      <c r="F10" s="2"/>
      <c r="G10" s="2"/>
      <c r="H10" s="2"/>
      <c r="I10" s="2"/>
    </row>
    <row r="11" spans="1:9" ht="63">
      <c r="A11" s="4" t="s">
        <v>14</v>
      </c>
      <c r="B11" s="5" t="s">
        <v>15</v>
      </c>
      <c r="C11" s="5" t="s">
        <v>16</v>
      </c>
      <c r="D11" s="80" t="s">
        <v>216</v>
      </c>
      <c r="E11" s="80" t="s">
        <v>217</v>
      </c>
      <c r="F11" s="80" t="s">
        <v>218</v>
      </c>
      <c r="G11" s="80" t="s">
        <v>219</v>
      </c>
      <c r="H11" s="6" t="s">
        <v>213</v>
      </c>
      <c r="I11" s="80" t="s">
        <v>208</v>
      </c>
    </row>
    <row r="12" spans="1:9" ht="18.75">
      <c r="A12" s="30">
        <v>1</v>
      </c>
      <c r="B12" s="30" t="s">
        <v>77</v>
      </c>
      <c r="C12" s="31" t="s">
        <v>78</v>
      </c>
      <c r="D12" s="8">
        <v>24</v>
      </c>
      <c r="E12" s="8">
        <v>24</v>
      </c>
      <c r="F12" s="12">
        <v>25</v>
      </c>
      <c r="G12" s="8">
        <v>15</v>
      </c>
      <c r="H12" s="81">
        <v>10</v>
      </c>
      <c r="I12" s="8">
        <f>SUM(D12:H12)</f>
        <v>98</v>
      </c>
    </row>
    <row r="13" spans="1:9" ht="18.75">
      <c r="A13" s="30">
        <v>2</v>
      </c>
      <c r="B13" s="30" t="s">
        <v>79</v>
      </c>
      <c r="C13" s="31" t="s">
        <v>80</v>
      </c>
      <c r="D13" s="8">
        <v>25</v>
      </c>
      <c r="E13" s="8">
        <v>24</v>
      </c>
      <c r="F13" s="12">
        <v>25</v>
      </c>
      <c r="G13" s="8">
        <v>15</v>
      </c>
      <c r="H13" s="81">
        <v>6</v>
      </c>
      <c r="I13" s="8">
        <f t="shared" ref="I13:I61" si="0">SUM(D13:H13)</f>
        <v>95</v>
      </c>
    </row>
    <row r="14" spans="1:9" ht="18.75">
      <c r="A14" s="30">
        <v>3</v>
      </c>
      <c r="B14" s="30" t="s">
        <v>81</v>
      </c>
      <c r="C14" s="31" t="s">
        <v>82</v>
      </c>
      <c r="D14" s="8">
        <v>24</v>
      </c>
      <c r="E14" s="8">
        <v>24</v>
      </c>
      <c r="F14" s="12">
        <v>25</v>
      </c>
      <c r="G14" s="8">
        <v>15</v>
      </c>
      <c r="H14" s="81">
        <v>8</v>
      </c>
      <c r="I14" s="8">
        <f t="shared" si="0"/>
        <v>96</v>
      </c>
    </row>
    <row r="15" spans="1:9" ht="18.75">
      <c r="A15" s="30">
        <v>4</v>
      </c>
      <c r="B15" s="30" t="s">
        <v>83</v>
      </c>
      <c r="C15" s="31" t="s">
        <v>84</v>
      </c>
      <c r="D15" s="8">
        <v>25</v>
      </c>
      <c r="E15" s="8">
        <v>24</v>
      </c>
      <c r="F15" s="12">
        <v>25</v>
      </c>
      <c r="G15" s="8">
        <v>15</v>
      </c>
      <c r="H15" s="81">
        <v>6</v>
      </c>
      <c r="I15" s="8">
        <f t="shared" si="0"/>
        <v>95</v>
      </c>
    </row>
    <row r="16" spans="1:9" ht="18.75">
      <c r="A16" s="30">
        <v>5</v>
      </c>
      <c r="B16" s="30" t="s">
        <v>85</v>
      </c>
      <c r="C16" s="31" t="s">
        <v>86</v>
      </c>
      <c r="D16" s="8">
        <v>24</v>
      </c>
      <c r="E16" s="8">
        <v>24</v>
      </c>
      <c r="F16" s="12">
        <v>25</v>
      </c>
      <c r="G16" s="8">
        <v>15</v>
      </c>
      <c r="H16" s="81">
        <v>4</v>
      </c>
      <c r="I16" s="8">
        <f t="shared" si="0"/>
        <v>92</v>
      </c>
    </row>
    <row r="17" spans="1:9" ht="18.75">
      <c r="A17" s="30">
        <v>6</v>
      </c>
      <c r="B17" s="30" t="s">
        <v>87</v>
      </c>
      <c r="C17" s="31" t="s">
        <v>88</v>
      </c>
      <c r="D17" s="8">
        <v>24</v>
      </c>
      <c r="E17" s="8">
        <v>23</v>
      </c>
      <c r="F17" s="12">
        <v>25</v>
      </c>
      <c r="G17" s="8">
        <v>15</v>
      </c>
      <c r="H17" s="81">
        <v>8</v>
      </c>
      <c r="I17" s="8">
        <f t="shared" si="0"/>
        <v>95</v>
      </c>
    </row>
    <row r="18" spans="1:9" ht="18.75">
      <c r="A18" s="30">
        <v>7</v>
      </c>
      <c r="B18" s="30" t="s">
        <v>89</v>
      </c>
      <c r="C18" s="31" t="s">
        <v>90</v>
      </c>
      <c r="D18" s="8">
        <v>23</v>
      </c>
      <c r="E18" s="8">
        <v>23</v>
      </c>
      <c r="F18" s="12">
        <v>25</v>
      </c>
      <c r="G18" s="8">
        <v>15</v>
      </c>
      <c r="H18" s="81">
        <v>8</v>
      </c>
      <c r="I18" s="8">
        <f t="shared" si="0"/>
        <v>94</v>
      </c>
    </row>
    <row r="19" spans="1:9" ht="18.75">
      <c r="A19" s="30">
        <v>8</v>
      </c>
      <c r="B19" s="30" t="s">
        <v>91</v>
      </c>
      <c r="C19" s="31" t="s">
        <v>92</v>
      </c>
      <c r="D19" s="8">
        <v>25</v>
      </c>
      <c r="E19" s="8">
        <v>24</v>
      </c>
      <c r="F19" s="12">
        <v>25</v>
      </c>
      <c r="G19" s="8">
        <v>15</v>
      </c>
      <c r="H19" s="81">
        <v>8</v>
      </c>
      <c r="I19" s="8">
        <f t="shared" si="0"/>
        <v>97</v>
      </c>
    </row>
    <row r="20" spans="1:9" ht="18.75">
      <c r="A20" s="30">
        <v>9</v>
      </c>
      <c r="B20" s="30" t="s">
        <v>93</v>
      </c>
      <c r="C20" s="31" t="s">
        <v>94</v>
      </c>
      <c r="D20" s="8">
        <v>24</v>
      </c>
      <c r="E20" s="8">
        <v>24</v>
      </c>
      <c r="F20" s="12">
        <v>25</v>
      </c>
      <c r="G20" s="8">
        <v>15</v>
      </c>
      <c r="H20" s="81">
        <v>10</v>
      </c>
      <c r="I20" s="8">
        <f t="shared" si="0"/>
        <v>98</v>
      </c>
    </row>
    <row r="21" spans="1:9" ht="18.75">
      <c r="A21" s="30">
        <v>10</v>
      </c>
      <c r="B21" s="30" t="s">
        <v>95</v>
      </c>
      <c r="C21" s="31" t="s">
        <v>96</v>
      </c>
      <c r="D21" s="8">
        <v>23</v>
      </c>
      <c r="E21" s="8">
        <v>23</v>
      </c>
      <c r="F21" s="12">
        <v>25</v>
      </c>
      <c r="G21" s="8">
        <v>15</v>
      </c>
      <c r="H21" s="81">
        <v>6</v>
      </c>
      <c r="I21" s="8">
        <f t="shared" si="0"/>
        <v>92</v>
      </c>
    </row>
    <row r="22" spans="1:9" ht="18.75">
      <c r="A22" s="30">
        <v>11</v>
      </c>
      <c r="B22" s="30" t="s">
        <v>97</v>
      </c>
      <c r="C22" s="31" t="s">
        <v>98</v>
      </c>
      <c r="D22" s="8">
        <v>23</v>
      </c>
      <c r="E22" s="8">
        <v>23</v>
      </c>
      <c r="F22" s="12">
        <v>25</v>
      </c>
      <c r="G22" s="8">
        <v>15</v>
      </c>
      <c r="H22" s="81">
        <v>4</v>
      </c>
      <c r="I22" s="8">
        <f t="shared" si="0"/>
        <v>90</v>
      </c>
    </row>
    <row r="23" spans="1:9" ht="18.75">
      <c r="A23" s="30">
        <v>12</v>
      </c>
      <c r="B23" s="30" t="s">
        <v>99</v>
      </c>
      <c r="C23" s="31" t="s">
        <v>100</v>
      </c>
      <c r="D23" s="8">
        <v>24</v>
      </c>
      <c r="E23" s="8">
        <v>24</v>
      </c>
      <c r="F23" s="12">
        <v>25</v>
      </c>
      <c r="G23" s="8">
        <v>15</v>
      </c>
      <c r="H23" s="81">
        <v>6</v>
      </c>
      <c r="I23" s="8">
        <f t="shared" si="0"/>
        <v>94</v>
      </c>
    </row>
    <row r="24" spans="1:9" ht="18.75">
      <c r="A24" s="30">
        <v>13</v>
      </c>
      <c r="B24" s="30" t="s">
        <v>101</v>
      </c>
      <c r="C24" s="31" t="s">
        <v>102</v>
      </c>
      <c r="D24" s="8">
        <v>24</v>
      </c>
      <c r="E24" s="8">
        <v>23</v>
      </c>
      <c r="F24" s="12">
        <v>25</v>
      </c>
      <c r="G24" s="8">
        <v>15</v>
      </c>
      <c r="H24" s="81">
        <v>0</v>
      </c>
      <c r="I24" s="8">
        <f t="shared" si="0"/>
        <v>87</v>
      </c>
    </row>
    <row r="25" spans="1:9" ht="18.75">
      <c r="A25" s="30">
        <v>14</v>
      </c>
      <c r="B25" s="30" t="s">
        <v>103</v>
      </c>
      <c r="C25" s="31" t="s">
        <v>104</v>
      </c>
      <c r="D25" s="8">
        <v>25</v>
      </c>
      <c r="E25" s="8">
        <v>24</v>
      </c>
      <c r="F25" s="12">
        <v>25</v>
      </c>
      <c r="G25" s="8">
        <v>15</v>
      </c>
      <c r="H25" s="81">
        <v>10</v>
      </c>
      <c r="I25" s="8">
        <f t="shared" si="0"/>
        <v>99</v>
      </c>
    </row>
    <row r="26" spans="1:9" ht="18.75">
      <c r="A26" s="30">
        <v>15</v>
      </c>
      <c r="B26" s="30" t="s">
        <v>105</v>
      </c>
      <c r="C26" s="31" t="s">
        <v>106</v>
      </c>
      <c r="D26" s="8">
        <v>24</v>
      </c>
      <c r="E26" s="8">
        <v>23</v>
      </c>
      <c r="F26" s="12">
        <v>25</v>
      </c>
      <c r="G26" s="8">
        <v>15</v>
      </c>
      <c r="H26" s="81">
        <v>6</v>
      </c>
      <c r="I26" s="8">
        <f t="shared" si="0"/>
        <v>93</v>
      </c>
    </row>
    <row r="27" spans="1:9" ht="18.75">
      <c r="A27" s="30">
        <v>16</v>
      </c>
      <c r="B27" s="30" t="s">
        <v>107</v>
      </c>
      <c r="C27" s="31" t="s">
        <v>108</v>
      </c>
      <c r="D27" s="8">
        <v>24</v>
      </c>
      <c r="E27" s="8">
        <v>24</v>
      </c>
      <c r="F27" s="12">
        <v>25</v>
      </c>
      <c r="G27" s="8">
        <v>15</v>
      </c>
      <c r="H27" s="81">
        <v>0</v>
      </c>
      <c r="I27" s="8">
        <f t="shared" si="0"/>
        <v>88</v>
      </c>
    </row>
    <row r="28" spans="1:9" ht="18.75">
      <c r="A28" s="30">
        <v>17</v>
      </c>
      <c r="B28" s="30" t="s">
        <v>109</v>
      </c>
      <c r="C28" s="31" t="s">
        <v>110</v>
      </c>
      <c r="D28" s="8">
        <v>25</v>
      </c>
      <c r="E28" s="8">
        <v>24</v>
      </c>
      <c r="F28" s="12">
        <v>25</v>
      </c>
      <c r="G28" s="8">
        <v>15</v>
      </c>
      <c r="H28" s="81">
        <v>8</v>
      </c>
      <c r="I28" s="8">
        <f t="shared" si="0"/>
        <v>97</v>
      </c>
    </row>
    <row r="29" spans="1:9" ht="18.75">
      <c r="A29" s="30">
        <v>18</v>
      </c>
      <c r="B29" s="30" t="s">
        <v>111</v>
      </c>
      <c r="C29" s="31" t="s">
        <v>112</v>
      </c>
      <c r="D29" s="8">
        <v>25</v>
      </c>
      <c r="E29" s="8">
        <v>25</v>
      </c>
      <c r="F29" s="12">
        <v>25</v>
      </c>
      <c r="G29" s="8">
        <v>15</v>
      </c>
      <c r="H29" s="81">
        <v>4</v>
      </c>
      <c r="I29" s="8">
        <f t="shared" si="0"/>
        <v>94</v>
      </c>
    </row>
    <row r="30" spans="1:9" ht="18.75">
      <c r="A30" s="30">
        <v>19</v>
      </c>
      <c r="B30" s="30" t="s">
        <v>113</v>
      </c>
      <c r="C30" s="31" t="s">
        <v>114</v>
      </c>
      <c r="D30" s="8">
        <v>25</v>
      </c>
      <c r="E30" s="8">
        <v>24</v>
      </c>
      <c r="F30" s="12">
        <v>25</v>
      </c>
      <c r="G30" s="8">
        <v>15</v>
      </c>
      <c r="H30" s="81">
        <v>8</v>
      </c>
      <c r="I30" s="8">
        <f t="shared" si="0"/>
        <v>97</v>
      </c>
    </row>
    <row r="31" spans="1:9" ht="18.75">
      <c r="A31" s="30">
        <v>20</v>
      </c>
      <c r="B31" s="30" t="s">
        <v>115</v>
      </c>
      <c r="C31" s="31" t="s">
        <v>116</v>
      </c>
      <c r="D31" s="8">
        <v>24</v>
      </c>
      <c r="E31" s="8">
        <v>23</v>
      </c>
      <c r="F31" s="12">
        <v>25</v>
      </c>
      <c r="G31" s="8">
        <v>15</v>
      </c>
      <c r="H31" s="81">
        <v>8</v>
      </c>
      <c r="I31" s="8">
        <f t="shared" si="0"/>
        <v>95</v>
      </c>
    </row>
    <row r="32" spans="1:9" ht="18.75">
      <c r="A32" s="30">
        <v>21</v>
      </c>
      <c r="B32" s="30" t="s">
        <v>117</v>
      </c>
      <c r="C32" s="31" t="s">
        <v>118</v>
      </c>
      <c r="D32" s="8">
        <v>23</v>
      </c>
      <c r="E32" s="8">
        <v>23</v>
      </c>
      <c r="F32" s="12">
        <v>25</v>
      </c>
      <c r="G32" s="8">
        <v>15</v>
      </c>
      <c r="H32" s="81">
        <v>6</v>
      </c>
      <c r="I32" s="8">
        <f t="shared" si="0"/>
        <v>92</v>
      </c>
    </row>
    <row r="33" spans="1:9" ht="18.75">
      <c r="A33" s="30">
        <v>22</v>
      </c>
      <c r="B33" s="30" t="s">
        <v>119</v>
      </c>
      <c r="C33" s="31" t="s">
        <v>120</v>
      </c>
      <c r="D33" s="8">
        <v>23</v>
      </c>
      <c r="E33" s="8">
        <v>23</v>
      </c>
      <c r="F33" s="12">
        <v>25</v>
      </c>
      <c r="G33" s="8">
        <v>15</v>
      </c>
      <c r="H33" s="81">
        <v>4</v>
      </c>
      <c r="I33" s="8">
        <f t="shared" si="0"/>
        <v>90</v>
      </c>
    </row>
    <row r="34" spans="1:9" ht="18.75">
      <c r="A34" s="30">
        <v>23</v>
      </c>
      <c r="B34" s="30" t="s">
        <v>121</v>
      </c>
      <c r="C34" s="31" t="s">
        <v>122</v>
      </c>
      <c r="D34" s="8">
        <v>25</v>
      </c>
      <c r="E34" s="8">
        <v>24</v>
      </c>
      <c r="F34" s="12">
        <v>25</v>
      </c>
      <c r="G34" s="8">
        <v>15</v>
      </c>
      <c r="H34" s="81">
        <v>10</v>
      </c>
      <c r="I34" s="8">
        <f t="shared" si="0"/>
        <v>99</v>
      </c>
    </row>
    <row r="35" spans="1:9" ht="18.75">
      <c r="A35" s="30">
        <v>24</v>
      </c>
      <c r="B35" s="30" t="s">
        <v>123</v>
      </c>
      <c r="C35" s="31" t="s">
        <v>124</v>
      </c>
      <c r="D35" s="8">
        <v>25</v>
      </c>
      <c r="E35" s="8">
        <v>24</v>
      </c>
      <c r="F35" s="12">
        <v>25</v>
      </c>
      <c r="G35" s="8">
        <v>15</v>
      </c>
      <c r="H35" s="81">
        <v>8</v>
      </c>
      <c r="I35" s="8">
        <f t="shared" si="0"/>
        <v>97</v>
      </c>
    </row>
    <row r="36" spans="1:9" ht="18.75">
      <c r="A36" s="30">
        <v>25</v>
      </c>
      <c r="B36" s="30" t="s">
        <v>125</v>
      </c>
      <c r="C36" s="31" t="s">
        <v>126</v>
      </c>
      <c r="D36" s="8">
        <v>25</v>
      </c>
      <c r="E36" s="8">
        <v>24</v>
      </c>
      <c r="F36" s="12">
        <v>25</v>
      </c>
      <c r="G36" s="8">
        <v>15</v>
      </c>
      <c r="H36" s="81">
        <v>8</v>
      </c>
      <c r="I36" s="8">
        <f t="shared" si="0"/>
        <v>97</v>
      </c>
    </row>
    <row r="37" spans="1:9" ht="18.75">
      <c r="A37" s="30">
        <v>26</v>
      </c>
      <c r="B37" s="30" t="s">
        <v>127</v>
      </c>
      <c r="C37" s="31" t="s">
        <v>128</v>
      </c>
      <c r="D37" s="8">
        <v>24</v>
      </c>
      <c r="E37" s="8">
        <v>24</v>
      </c>
      <c r="F37" s="12">
        <v>25</v>
      </c>
      <c r="G37" s="8">
        <v>15</v>
      </c>
      <c r="H37" s="81">
        <v>4</v>
      </c>
      <c r="I37" s="8">
        <f t="shared" si="0"/>
        <v>92</v>
      </c>
    </row>
    <row r="38" spans="1:9" ht="18.75">
      <c r="A38" s="30">
        <v>27</v>
      </c>
      <c r="B38" s="30" t="s">
        <v>129</v>
      </c>
      <c r="C38" s="31" t="s">
        <v>130</v>
      </c>
      <c r="D38" s="8">
        <v>23</v>
      </c>
      <c r="E38" s="8">
        <v>23</v>
      </c>
      <c r="F38" s="12">
        <v>25</v>
      </c>
      <c r="G38" s="8">
        <v>15</v>
      </c>
      <c r="H38" s="81">
        <v>6</v>
      </c>
      <c r="I38" s="8">
        <f t="shared" si="0"/>
        <v>92</v>
      </c>
    </row>
    <row r="39" spans="1:9" ht="18.75">
      <c r="A39" s="30">
        <v>28</v>
      </c>
      <c r="B39" s="30" t="s">
        <v>131</v>
      </c>
      <c r="C39" s="31" t="s">
        <v>132</v>
      </c>
      <c r="D39" s="8">
        <v>25</v>
      </c>
      <c r="E39" s="8">
        <v>25</v>
      </c>
      <c r="F39" s="12">
        <v>25</v>
      </c>
      <c r="G39" s="8">
        <v>15</v>
      </c>
      <c r="H39" s="81">
        <v>4</v>
      </c>
      <c r="I39" s="8">
        <f t="shared" si="0"/>
        <v>94</v>
      </c>
    </row>
    <row r="40" spans="1:9" ht="18.75">
      <c r="A40" s="30">
        <v>29</v>
      </c>
      <c r="B40" s="30" t="s">
        <v>133</v>
      </c>
      <c r="C40" s="31" t="s">
        <v>134</v>
      </c>
      <c r="D40" s="8">
        <v>25</v>
      </c>
      <c r="E40" s="8">
        <v>24</v>
      </c>
      <c r="F40" s="12">
        <v>25</v>
      </c>
      <c r="G40" s="8">
        <v>15</v>
      </c>
      <c r="H40" s="81">
        <v>4</v>
      </c>
      <c r="I40" s="8">
        <f t="shared" si="0"/>
        <v>93</v>
      </c>
    </row>
    <row r="41" spans="1:9" ht="18.75">
      <c r="A41" s="30">
        <v>30</v>
      </c>
      <c r="B41" s="30" t="s">
        <v>135</v>
      </c>
      <c r="C41" s="31" t="s">
        <v>136</v>
      </c>
      <c r="D41" s="8">
        <v>25</v>
      </c>
      <c r="E41" s="8">
        <v>24</v>
      </c>
      <c r="F41" s="12">
        <v>25</v>
      </c>
      <c r="G41" s="8">
        <v>15</v>
      </c>
      <c r="H41" s="81">
        <v>10</v>
      </c>
      <c r="I41" s="8">
        <f t="shared" si="0"/>
        <v>99</v>
      </c>
    </row>
    <row r="42" spans="1:9" ht="18.75">
      <c r="A42" s="30">
        <v>31</v>
      </c>
      <c r="B42" s="30" t="s">
        <v>137</v>
      </c>
      <c r="C42" s="31" t="s">
        <v>138</v>
      </c>
      <c r="D42" s="8">
        <v>25</v>
      </c>
      <c r="E42" s="8">
        <v>25</v>
      </c>
      <c r="F42" s="12">
        <v>25</v>
      </c>
      <c r="G42" s="8">
        <v>15</v>
      </c>
      <c r="H42" s="81">
        <v>6</v>
      </c>
      <c r="I42" s="8">
        <f t="shared" si="0"/>
        <v>96</v>
      </c>
    </row>
    <row r="43" spans="1:9" ht="18.75">
      <c r="A43" s="30">
        <v>32</v>
      </c>
      <c r="B43" s="30" t="s">
        <v>139</v>
      </c>
      <c r="C43" s="31" t="s">
        <v>140</v>
      </c>
      <c r="D43" s="8">
        <v>25</v>
      </c>
      <c r="E43" s="8">
        <v>25</v>
      </c>
      <c r="F43" s="12">
        <v>25</v>
      </c>
      <c r="G43" s="8">
        <v>15</v>
      </c>
      <c r="H43" s="81">
        <v>8</v>
      </c>
      <c r="I43" s="8">
        <f t="shared" si="0"/>
        <v>98</v>
      </c>
    </row>
    <row r="44" spans="1:9" ht="18.75">
      <c r="A44" s="30">
        <v>33</v>
      </c>
      <c r="B44" s="30" t="s">
        <v>141</v>
      </c>
      <c r="C44" s="31" t="s">
        <v>142</v>
      </c>
      <c r="D44" s="8">
        <v>25</v>
      </c>
      <c r="E44" s="8">
        <v>25</v>
      </c>
      <c r="F44" s="12">
        <v>25</v>
      </c>
      <c r="G44" s="8">
        <v>15</v>
      </c>
      <c r="H44" s="81">
        <v>6</v>
      </c>
      <c r="I44" s="8">
        <f t="shared" si="0"/>
        <v>96</v>
      </c>
    </row>
    <row r="45" spans="1:9" ht="18.75">
      <c r="A45" s="30">
        <v>34</v>
      </c>
      <c r="B45" s="30" t="s">
        <v>143</v>
      </c>
      <c r="C45" s="31" t="s">
        <v>144</v>
      </c>
      <c r="D45" s="8">
        <v>25</v>
      </c>
      <c r="E45" s="8">
        <v>25</v>
      </c>
      <c r="F45" s="12">
        <v>25</v>
      </c>
      <c r="G45" s="8">
        <v>15</v>
      </c>
      <c r="H45" s="81">
        <v>8</v>
      </c>
      <c r="I45" s="8">
        <f t="shared" si="0"/>
        <v>98</v>
      </c>
    </row>
    <row r="46" spans="1:9" ht="18.75">
      <c r="A46" s="30">
        <v>35</v>
      </c>
      <c r="B46" s="30" t="s">
        <v>145</v>
      </c>
      <c r="C46" s="31" t="s">
        <v>146</v>
      </c>
      <c r="D46" s="8">
        <v>24</v>
      </c>
      <c r="E46" s="8">
        <v>23</v>
      </c>
      <c r="F46" s="12">
        <v>25</v>
      </c>
      <c r="G46" s="8">
        <v>15</v>
      </c>
      <c r="H46" s="81">
        <v>10</v>
      </c>
      <c r="I46" s="8">
        <f t="shared" si="0"/>
        <v>97</v>
      </c>
    </row>
    <row r="47" spans="1:9" ht="18.75">
      <c r="A47" s="30">
        <v>36</v>
      </c>
      <c r="B47" s="30" t="s">
        <v>147</v>
      </c>
      <c r="C47" s="31" t="s">
        <v>148</v>
      </c>
      <c r="D47" s="8">
        <v>24</v>
      </c>
      <c r="E47" s="8">
        <v>24</v>
      </c>
      <c r="F47" s="12">
        <v>25</v>
      </c>
      <c r="G47" s="8">
        <v>15</v>
      </c>
      <c r="H47" s="81">
        <v>4</v>
      </c>
      <c r="I47" s="8">
        <f t="shared" si="0"/>
        <v>92</v>
      </c>
    </row>
    <row r="48" spans="1:9" ht="18.75">
      <c r="A48" s="30">
        <v>37</v>
      </c>
      <c r="B48" s="30" t="s">
        <v>149</v>
      </c>
      <c r="C48" s="31" t="s">
        <v>150</v>
      </c>
      <c r="D48" s="8">
        <v>25</v>
      </c>
      <c r="E48" s="8">
        <v>25</v>
      </c>
      <c r="F48" s="12">
        <v>25</v>
      </c>
      <c r="G48" s="8">
        <v>15</v>
      </c>
      <c r="H48" s="81">
        <v>8</v>
      </c>
      <c r="I48" s="8">
        <f t="shared" si="0"/>
        <v>98</v>
      </c>
    </row>
    <row r="49" spans="1:9" ht="18.75">
      <c r="A49" s="30">
        <v>38</v>
      </c>
      <c r="B49" s="30" t="s">
        <v>151</v>
      </c>
      <c r="C49" s="31" t="s">
        <v>152</v>
      </c>
      <c r="D49" s="8">
        <v>24</v>
      </c>
      <c r="E49" s="8">
        <v>24</v>
      </c>
      <c r="F49" s="12">
        <v>25</v>
      </c>
      <c r="G49" s="8">
        <v>15</v>
      </c>
      <c r="H49" s="81">
        <v>6</v>
      </c>
      <c r="I49" s="8">
        <f t="shared" si="0"/>
        <v>94</v>
      </c>
    </row>
    <row r="50" spans="1:9" ht="18.75">
      <c r="A50" s="30">
        <v>39</v>
      </c>
      <c r="B50" s="30" t="s">
        <v>153</v>
      </c>
      <c r="C50" s="31" t="s">
        <v>154</v>
      </c>
      <c r="D50" s="8">
        <v>23</v>
      </c>
      <c r="E50" s="8">
        <v>23</v>
      </c>
      <c r="F50" s="12">
        <v>25</v>
      </c>
      <c r="G50" s="8">
        <v>15</v>
      </c>
      <c r="H50" s="81">
        <v>4</v>
      </c>
      <c r="I50" s="8">
        <f t="shared" si="0"/>
        <v>90</v>
      </c>
    </row>
    <row r="51" spans="1:9" ht="18.75">
      <c r="A51" s="30">
        <v>40</v>
      </c>
      <c r="B51" s="30" t="s">
        <v>155</v>
      </c>
      <c r="C51" s="31" t="s">
        <v>156</v>
      </c>
      <c r="D51" s="8">
        <v>25</v>
      </c>
      <c r="E51" s="8">
        <v>25</v>
      </c>
      <c r="F51" s="12">
        <v>25</v>
      </c>
      <c r="G51" s="8">
        <v>15</v>
      </c>
      <c r="H51" s="81">
        <v>6</v>
      </c>
      <c r="I51" s="8">
        <f t="shared" si="0"/>
        <v>96</v>
      </c>
    </row>
    <row r="52" spans="1:9" ht="18.75">
      <c r="A52" s="30">
        <v>41</v>
      </c>
      <c r="B52" s="30" t="s">
        <v>157</v>
      </c>
      <c r="C52" s="31" t="s">
        <v>158</v>
      </c>
      <c r="D52" s="8">
        <v>24</v>
      </c>
      <c r="E52" s="8">
        <v>24</v>
      </c>
      <c r="F52" s="12">
        <v>25</v>
      </c>
      <c r="G52" s="8">
        <v>15</v>
      </c>
      <c r="H52" s="81">
        <v>10</v>
      </c>
      <c r="I52" s="8">
        <f t="shared" si="0"/>
        <v>98</v>
      </c>
    </row>
    <row r="53" spans="1:9" ht="18.75">
      <c r="A53" s="30">
        <v>42</v>
      </c>
      <c r="B53" s="30" t="s">
        <v>159</v>
      </c>
      <c r="C53" s="31" t="s">
        <v>160</v>
      </c>
      <c r="D53" s="8">
        <v>24</v>
      </c>
      <c r="E53" s="8">
        <v>24</v>
      </c>
      <c r="F53" s="12">
        <v>25</v>
      </c>
      <c r="G53" s="8">
        <v>15</v>
      </c>
      <c r="H53" s="81">
        <v>2</v>
      </c>
      <c r="I53" s="8">
        <f t="shared" si="0"/>
        <v>90</v>
      </c>
    </row>
    <row r="54" spans="1:9" ht="18.75">
      <c r="A54" s="30">
        <v>43</v>
      </c>
      <c r="B54" s="30" t="s">
        <v>161</v>
      </c>
      <c r="C54" s="31" t="s">
        <v>162</v>
      </c>
      <c r="D54" s="8">
        <v>24</v>
      </c>
      <c r="E54" s="8">
        <v>23</v>
      </c>
      <c r="F54" s="12">
        <v>25</v>
      </c>
      <c r="G54" s="8">
        <v>15</v>
      </c>
      <c r="H54" s="81">
        <v>6</v>
      </c>
      <c r="I54" s="8">
        <f t="shared" si="0"/>
        <v>93</v>
      </c>
    </row>
    <row r="55" spans="1:9" ht="18.75">
      <c r="A55" s="30">
        <v>44</v>
      </c>
      <c r="B55" s="30" t="s">
        <v>163</v>
      </c>
      <c r="C55" s="31" t="s">
        <v>164</v>
      </c>
      <c r="D55" s="8">
        <v>23</v>
      </c>
      <c r="E55" s="8">
        <v>23</v>
      </c>
      <c r="F55" s="12">
        <v>25</v>
      </c>
      <c r="G55" s="8">
        <v>15</v>
      </c>
      <c r="H55" s="81">
        <v>6</v>
      </c>
      <c r="I55" s="8">
        <f t="shared" si="0"/>
        <v>92</v>
      </c>
    </row>
    <row r="56" spans="1:9" ht="18.75">
      <c r="A56" s="30">
        <v>45</v>
      </c>
      <c r="B56" s="30" t="s">
        <v>165</v>
      </c>
      <c r="C56" s="31" t="s">
        <v>166</v>
      </c>
      <c r="D56" s="8">
        <v>23</v>
      </c>
      <c r="E56" s="8">
        <v>23</v>
      </c>
      <c r="F56" s="12">
        <v>25</v>
      </c>
      <c r="G56" s="8">
        <v>15</v>
      </c>
      <c r="H56" s="81">
        <v>4</v>
      </c>
      <c r="I56" s="8">
        <f t="shared" si="0"/>
        <v>90</v>
      </c>
    </row>
    <row r="57" spans="1:9" ht="18.75">
      <c r="A57" s="30">
        <v>46</v>
      </c>
      <c r="B57" s="30" t="s">
        <v>167</v>
      </c>
      <c r="C57" s="31" t="s">
        <v>168</v>
      </c>
      <c r="D57" s="8">
        <v>24</v>
      </c>
      <c r="E57" s="8">
        <v>23</v>
      </c>
      <c r="F57" s="12">
        <v>25</v>
      </c>
      <c r="G57" s="8">
        <v>15</v>
      </c>
      <c r="H57" s="81">
        <v>6</v>
      </c>
      <c r="I57" s="8">
        <f t="shared" si="0"/>
        <v>93</v>
      </c>
    </row>
    <row r="58" spans="1:9" ht="18.75">
      <c r="A58" s="30">
        <v>47</v>
      </c>
      <c r="B58" s="30" t="s">
        <v>169</v>
      </c>
      <c r="C58" s="31" t="s">
        <v>170</v>
      </c>
      <c r="D58" s="8">
        <v>23</v>
      </c>
      <c r="E58" s="8">
        <v>23</v>
      </c>
      <c r="F58" s="12">
        <v>25</v>
      </c>
      <c r="G58" s="8">
        <v>15</v>
      </c>
      <c r="H58" s="81">
        <v>2</v>
      </c>
      <c r="I58" s="8">
        <f t="shared" si="0"/>
        <v>88</v>
      </c>
    </row>
    <row r="59" spans="1:9" ht="18.75">
      <c r="A59" s="30">
        <v>48</v>
      </c>
      <c r="B59" s="30" t="s">
        <v>171</v>
      </c>
      <c r="C59" s="31" t="s">
        <v>172</v>
      </c>
      <c r="D59" s="8">
        <v>23</v>
      </c>
      <c r="E59" s="8">
        <v>23</v>
      </c>
      <c r="F59" s="12">
        <v>25</v>
      </c>
      <c r="G59" s="8">
        <v>15</v>
      </c>
      <c r="H59" s="81">
        <v>2</v>
      </c>
      <c r="I59" s="8">
        <f t="shared" si="0"/>
        <v>88</v>
      </c>
    </row>
    <row r="60" spans="1:9" ht="18.75">
      <c r="A60" s="30">
        <v>49</v>
      </c>
      <c r="B60" s="30" t="s">
        <v>173</v>
      </c>
      <c r="C60" s="31" t="s">
        <v>176</v>
      </c>
      <c r="D60" s="8">
        <v>23</v>
      </c>
      <c r="E60" s="8">
        <v>23</v>
      </c>
      <c r="F60" s="12">
        <v>25</v>
      </c>
      <c r="G60" s="8">
        <v>15</v>
      </c>
      <c r="H60" s="81">
        <v>8</v>
      </c>
      <c r="I60" s="8">
        <f t="shared" si="0"/>
        <v>94</v>
      </c>
    </row>
    <row r="61" spans="1:9" ht="18.75">
      <c r="A61" s="30">
        <v>50</v>
      </c>
      <c r="B61" s="30" t="s">
        <v>174</v>
      </c>
      <c r="C61" s="31" t="s">
        <v>175</v>
      </c>
      <c r="D61" s="8">
        <v>25</v>
      </c>
      <c r="E61" s="8">
        <v>24</v>
      </c>
      <c r="F61" s="12">
        <v>25</v>
      </c>
      <c r="G61" s="8">
        <v>15</v>
      </c>
      <c r="H61" s="81">
        <v>4</v>
      </c>
      <c r="I61" s="8">
        <f t="shared" si="0"/>
        <v>93</v>
      </c>
    </row>
    <row r="65" spans="2:9" ht="15.75">
      <c r="B65" s="9" t="s">
        <v>36</v>
      </c>
      <c r="D65" s="9" t="s">
        <v>37</v>
      </c>
      <c r="E65" s="9"/>
      <c r="I65" s="9" t="s">
        <v>38</v>
      </c>
    </row>
    <row r="66" spans="2:9" ht="15.75">
      <c r="B66" s="11" t="s">
        <v>39</v>
      </c>
      <c r="D66" s="11" t="s">
        <v>40</v>
      </c>
      <c r="E66" s="11"/>
      <c r="I66" s="11" t="s">
        <v>41</v>
      </c>
    </row>
  </sheetData>
  <mergeCells count="7">
    <mergeCell ref="A6:I6"/>
    <mergeCell ref="A8:B8"/>
    <mergeCell ref="D8:G8"/>
    <mergeCell ref="H8:I8"/>
    <mergeCell ref="A9:B9"/>
    <mergeCell ref="D9:G9"/>
    <mergeCell ref="H9:I9"/>
  </mergeCells>
  <pageMargins left="0.7" right="0.7" top="0.75" bottom="0.75" header="0.3" footer="0.3"/>
  <pageSetup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66"/>
  <sheetViews>
    <sheetView topLeftCell="A57" workbookViewId="0">
      <selection activeCell="H76" sqref="H76"/>
    </sheetView>
  </sheetViews>
  <sheetFormatPr defaultColWidth="9" defaultRowHeight="15"/>
  <cols>
    <col min="1" max="1" width="6.28515625" customWidth="1"/>
    <col min="2" max="2" width="28.85546875" customWidth="1"/>
    <col min="3" max="3" width="36" customWidth="1"/>
    <col min="4" max="4" width="17.5703125" customWidth="1"/>
    <col min="5" max="5" width="16.7109375" customWidth="1"/>
    <col min="6" max="6" width="19.140625" customWidth="1"/>
    <col min="7" max="7" width="18.85546875" customWidth="1"/>
    <col min="8" max="8" width="24.28515625" customWidth="1"/>
  </cols>
  <sheetData>
    <row r="6" spans="1:8" ht="15.75">
      <c r="A6" s="84" t="s">
        <v>0</v>
      </c>
      <c r="B6" s="85"/>
      <c r="C6" s="85"/>
      <c r="D6" s="85"/>
      <c r="E6" s="85"/>
      <c r="F6" s="85"/>
      <c r="G6" s="85"/>
      <c r="H6" s="85"/>
    </row>
    <row r="7" spans="1:8">
      <c r="A7" s="1"/>
      <c r="B7" s="1"/>
      <c r="C7" s="1"/>
      <c r="D7" s="1"/>
      <c r="E7" s="1"/>
      <c r="F7" s="1"/>
      <c r="G7" s="1"/>
      <c r="H7" s="1"/>
    </row>
    <row r="8" spans="1:8" ht="15.75">
      <c r="A8" s="110" t="s">
        <v>63</v>
      </c>
      <c r="B8" s="111"/>
      <c r="C8" s="55" t="s">
        <v>201</v>
      </c>
      <c r="D8" s="111" t="s">
        <v>52</v>
      </c>
      <c r="E8" s="111"/>
      <c r="F8" s="111"/>
      <c r="G8" s="110" t="s">
        <v>222</v>
      </c>
      <c r="H8" s="111"/>
    </row>
    <row r="9" spans="1:8" ht="30.75" customHeight="1">
      <c r="A9" s="110" t="s">
        <v>200</v>
      </c>
      <c r="B9" s="111"/>
      <c r="C9" s="55" t="s">
        <v>202</v>
      </c>
      <c r="D9" s="111" t="s">
        <v>53</v>
      </c>
      <c r="E9" s="111"/>
      <c r="F9" s="111"/>
      <c r="G9" s="112" t="s">
        <v>214</v>
      </c>
      <c r="H9" s="113"/>
    </row>
    <row r="10" spans="1:8">
      <c r="A10" s="2"/>
      <c r="B10" s="2"/>
      <c r="C10" s="2"/>
      <c r="D10" s="3"/>
      <c r="E10" s="2"/>
      <c r="F10" s="2"/>
      <c r="G10" s="2"/>
      <c r="H10" s="2"/>
    </row>
    <row r="11" spans="1:8" ht="63">
      <c r="A11" s="4" t="s">
        <v>14</v>
      </c>
      <c r="B11" s="5" t="s">
        <v>15</v>
      </c>
      <c r="C11" s="5" t="s">
        <v>16</v>
      </c>
      <c r="D11" s="80" t="s">
        <v>212</v>
      </c>
      <c r="E11" s="80" t="s">
        <v>211</v>
      </c>
      <c r="F11" s="80" t="s">
        <v>210</v>
      </c>
      <c r="G11" s="6" t="s">
        <v>213</v>
      </c>
      <c r="H11" s="80" t="s">
        <v>208</v>
      </c>
    </row>
    <row r="12" spans="1:8" ht="18.75">
      <c r="A12" s="30">
        <v>1</v>
      </c>
      <c r="B12" s="30" t="s">
        <v>77</v>
      </c>
      <c r="C12" s="31" t="s">
        <v>78</v>
      </c>
      <c r="D12" s="8">
        <v>20</v>
      </c>
      <c r="E12" s="12">
        <v>20</v>
      </c>
      <c r="F12" s="8">
        <v>44</v>
      </c>
      <c r="G12" s="81">
        <v>10</v>
      </c>
      <c r="H12" s="8">
        <f>SUM(D12:G12)</f>
        <v>94</v>
      </c>
    </row>
    <row r="13" spans="1:8" ht="18.75">
      <c r="A13" s="30">
        <v>2</v>
      </c>
      <c r="B13" s="30" t="s">
        <v>79</v>
      </c>
      <c r="C13" s="31" t="s">
        <v>80</v>
      </c>
      <c r="D13" s="8">
        <v>20</v>
      </c>
      <c r="E13" s="12">
        <v>20</v>
      </c>
      <c r="F13" s="8">
        <v>47</v>
      </c>
      <c r="G13" s="81">
        <v>6</v>
      </c>
      <c r="H13" s="8">
        <f t="shared" ref="H13:H61" si="0">SUM(D13:G13)</f>
        <v>93</v>
      </c>
    </row>
    <row r="14" spans="1:8" ht="18.75">
      <c r="A14" s="30">
        <v>3</v>
      </c>
      <c r="B14" s="30" t="s">
        <v>81</v>
      </c>
      <c r="C14" s="31" t="s">
        <v>82</v>
      </c>
      <c r="D14" s="8">
        <v>20</v>
      </c>
      <c r="E14" s="12">
        <v>20</v>
      </c>
      <c r="F14" s="8">
        <v>40</v>
      </c>
      <c r="G14" s="81">
        <v>8</v>
      </c>
      <c r="H14" s="8">
        <f t="shared" si="0"/>
        <v>88</v>
      </c>
    </row>
    <row r="15" spans="1:8" ht="18.75">
      <c r="A15" s="30">
        <v>4</v>
      </c>
      <c r="B15" s="30" t="s">
        <v>83</v>
      </c>
      <c r="C15" s="31" t="s">
        <v>84</v>
      </c>
      <c r="D15" s="8">
        <v>20</v>
      </c>
      <c r="E15" s="12">
        <v>20</v>
      </c>
      <c r="F15" s="8">
        <v>40</v>
      </c>
      <c r="G15" s="81">
        <v>6</v>
      </c>
      <c r="H15" s="8">
        <f t="shared" si="0"/>
        <v>86</v>
      </c>
    </row>
    <row r="16" spans="1:8" ht="18.75">
      <c r="A16" s="30">
        <v>5</v>
      </c>
      <c r="B16" s="30" t="s">
        <v>85</v>
      </c>
      <c r="C16" s="31" t="s">
        <v>86</v>
      </c>
      <c r="D16" s="8">
        <v>20</v>
      </c>
      <c r="E16" s="12">
        <v>20</v>
      </c>
      <c r="F16" s="8">
        <v>38</v>
      </c>
      <c r="G16" s="81">
        <v>4</v>
      </c>
      <c r="H16" s="8">
        <f t="shared" si="0"/>
        <v>82</v>
      </c>
    </row>
    <row r="17" spans="1:8" ht="18.75">
      <c r="A17" s="30">
        <v>6</v>
      </c>
      <c r="B17" s="30" t="s">
        <v>87</v>
      </c>
      <c r="C17" s="31" t="s">
        <v>88</v>
      </c>
      <c r="D17" s="8">
        <v>20</v>
      </c>
      <c r="E17" s="12">
        <v>20</v>
      </c>
      <c r="F17" s="8">
        <v>47</v>
      </c>
      <c r="G17" s="81">
        <v>8</v>
      </c>
      <c r="H17" s="8">
        <f t="shared" si="0"/>
        <v>95</v>
      </c>
    </row>
    <row r="18" spans="1:8" ht="18.75">
      <c r="A18" s="30">
        <v>7</v>
      </c>
      <c r="B18" s="30" t="s">
        <v>89</v>
      </c>
      <c r="C18" s="31" t="s">
        <v>90</v>
      </c>
      <c r="D18" s="8">
        <v>20</v>
      </c>
      <c r="E18" s="12">
        <v>20</v>
      </c>
      <c r="F18" s="8">
        <v>48</v>
      </c>
      <c r="G18" s="81">
        <v>8</v>
      </c>
      <c r="H18" s="8">
        <f t="shared" si="0"/>
        <v>96</v>
      </c>
    </row>
    <row r="19" spans="1:8" ht="18.75">
      <c r="A19" s="30">
        <v>8</v>
      </c>
      <c r="B19" s="30" t="s">
        <v>91</v>
      </c>
      <c r="C19" s="31" t="s">
        <v>92</v>
      </c>
      <c r="D19" s="8">
        <v>20</v>
      </c>
      <c r="E19" s="12">
        <v>20</v>
      </c>
      <c r="F19" s="8">
        <v>48</v>
      </c>
      <c r="G19" s="81">
        <v>8</v>
      </c>
      <c r="H19" s="8">
        <f t="shared" si="0"/>
        <v>96</v>
      </c>
    </row>
    <row r="20" spans="1:8" ht="18.75">
      <c r="A20" s="30">
        <v>9</v>
      </c>
      <c r="B20" s="30" t="s">
        <v>93</v>
      </c>
      <c r="C20" s="31" t="s">
        <v>94</v>
      </c>
      <c r="D20" s="8">
        <v>20</v>
      </c>
      <c r="E20" s="12">
        <v>20</v>
      </c>
      <c r="F20" s="8">
        <v>38</v>
      </c>
      <c r="G20" s="81">
        <v>10</v>
      </c>
      <c r="H20" s="8">
        <f t="shared" si="0"/>
        <v>88</v>
      </c>
    </row>
    <row r="21" spans="1:8" ht="18.75">
      <c r="A21" s="30">
        <v>10</v>
      </c>
      <c r="B21" s="30" t="s">
        <v>95</v>
      </c>
      <c r="C21" s="31" t="s">
        <v>96</v>
      </c>
      <c r="D21" s="8">
        <v>20</v>
      </c>
      <c r="E21" s="12">
        <v>20</v>
      </c>
      <c r="F21" s="8">
        <v>39</v>
      </c>
      <c r="G21" s="81">
        <v>6</v>
      </c>
      <c r="H21" s="8">
        <f t="shared" si="0"/>
        <v>85</v>
      </c>
    </row>
    <row r="22" spans="1:8" ht="18.75">
      <c r="A22" s="30">
        <v>11</v>
      </c>
      <c r="B22" s="30" t="s">
        <v>97</v>
      </c>
      <c r="C22" s="31" t="s">
        <v>98</v>
      </c>
      <c r="D22" s="8">
        <v>20</v>
      </c>
      <c r="E22" s="12">
        <v>20</v>
      </c>
      <c r="F22" s="8">
        <v>38</v>
      </c>
      <c r="G22" s="81">
        <v>4</v>
      </c>
      <c r="H22" s="8">
        <f t="shared" si="0"/>
        <v>82</v>
      </c>
    </row>
    <row r="23" spans="1:8" ht="18.75">
      <c r="A23" s="30">
        <v>12</v>
      </c>
      <c r="B23" s="30" t="s">
        <v>99</v>
      </c>
      <c r="C23" s="31" t="s">
        <v>100</v>
      </c>
      <c r="D23" s="8">
        <v>20</v>
      </c>
      <c r="E23" s="12">
        <v>20</v>
      </c>
      <c r="F23" s="8">
        <v>43</v>
      </c>
      <c r="G23" s="81">
        <v>6</v>
      </c>
      <c r="H23" s="8">
        <f t="shared" si="0"/>
        <v>89</v>
      </c>
    </row>
    <row r="24" spans="1:8" ht="18.75">
      <c r="A24" s="30">
        <v>13</v>
      </c>
      <c r="B24" s="30" t="s">
        <v>101</v>
      </c>
      <c r="C24" s="31" t="s">
        <v>102</v>
      </c>
      <c r="D24" s="8">
        <v>20</v>
      </c>
      <c r="E24" s="12">
        <v>20</v>
      </c>
      <c r="F24" s="8">
        <v>38</v>
      </c>
      <c r="G24" s="81">
        <v>0</v>
      </c>
      <c r="H24" s="8">
        <v>80</v>
      </c>
    </row>
    <row r="25" spans="1:8" ht="18.75">
      <c r="A25" s="30">
        <v>14</v>
      </c>
      <c r="B25" s="30" t="s">
        <v>103</v>
      </c>
      <c r="C25" s="31" t="s">
        <v>104</v>
      </c>
      <c r="D25" s="8">
        <v>20</v>
      </c>
      <c r="E25" s="12">
        <v>20</v>
      </c>
      <c r="F25" s="8">
        <v>49</v>
      </c>
      <c r="G25" s="81">
        <v>10</v>
      </c>
      <c r="H25" s="8">
        <f t="shared" si="0"/>
        <v>99</v>
      </c>
    </row>
    <row r="26" spans="1:8" ht="18.75">
      <c r="A26" s="30">
        <v>15</v>
      </c>
      <c r="B26" s="30" t="s">
        <v>105</v>
      </c>
      <c r="C26" s="31" t="s">
        <v>106</v>
      </c>
      <c r="D26" s="8">
        <v>20</v>
      </c>
      <c r="E26" s="12">
        <v>20</v>
      </c>
      <c r="F26" s="8">
        <v>42</v>
      </c>
      <c r="G26" s="81">
        <v>6</v>
      </c>
      <c r="H26" s="8">
        <f t="shared" si="0"/>
        <v>88</v>
      </c>
    </row>
    <row r="27" spans="1:8" ht="18.75">
      <c r="A27" s="30">
        <v>16</v>
      </c>
      <c r="B27" s="30" t="s">
        <v>107</v>
      </c>
      <c r="C27" s="31" t="s">
        <v>108</v>
      </c>
      <c r="D27" s="8">
        <v>20</v>
      </c>
      <c r="E27" s="12">
        <v>20</v>
      </c>
      <c r="F27" s="8">
        <v>38</v>
      </c>
      <c r="G27" s="81">
        <v>0</v>
      </c>
      <c r="H27" s="8">
        <v>80</v>
      </c>
    </row>
    <row r="28" spans="1:8" ht="18.75">
      <c r="A28" s="30">
        <v>17</v>
      </c>
      <c r="B28" s="30" t="s">
        <v>109</v>
      </c>
      <c r="C28" s="31" t="s">
        <v>110</v>
      </c>
      <c r="D28" s="8">
        <v>20</v>
      </c>
      <c r="E28" s="12">
        <v>20</v>
      </c>
      <c r="F28" s="8">
        <v>47</v>
      </c>
      <c r="G28" s="81">
        <v>8</v>
      </c>
      <c r="H28" s="8">
        <f t="shared" si="0"/>
        <v>95</v>
      </c>
    </row>
    <row r="29" spans="1:8" ht="18.75">
      <c r="A29" s="30">
        <v>18</v>
      </c>
      <c r="B29" s="30" t="s">
        <v>111</v>
      </c>
      <c r="C29" s="31" t="s">
        <v>112</v>
      </c>
      <c r="D29" s="8">
        <v>20</v>
      </c>
      <c r="E29" s="12">
        <v>20</v>
      </c>
      <c r="F29" s="8">
        <v>43</v>
      </c>
      <c r="G29" s="81">
        <v>4</v>
      </c>
      <c r="H29" s="8">
        <f t="shared" si="0"/>
        <v>87</v>
      </c>
    </row>
    <row r="30" spans="1:8" ht="18.75">
      <c r="A30" s="30">
        <v>19</v>
      </c>
      <c r="B30" s="30" t="s">
        <v>113</v>
      </c>
      <c r="C30" s="31" t="s">
        <v>114</v>
      </c>
      <c r="D30" s="8">
        <v>20</v>
      </c>
      <c r="E30" s="12">
        <v>20</v>
      </c>
      <c r="F30" s="8">
        <v>44</v>
      </c>
      <c r="G30" s="81">
        <v>8</v>
      </c>
      <c r="H30" s="8">
        <f t="shared" si="0"/>
        <v>92</v>
      </c>
    </row>
    <row r="31" spans="1:8" ht="18.75">
      <c r="A31" s="30">
        <v>20</v>
      </c>
      <c r="B31" s="30" t="s">
        <v>115</v>
      </c>
      <c r="C31" s="31" t="s">
        <v>116</v>
      </c>
      <c r="D31" s="8">
        <v>20</v>
      </c>
      <c r="E31" s="12">
        <v>20</v>
      </c>
      <c r="F31" s="8">
        <v>39</v>
      </c>
      <c r="G31" s="81">
        <v>8</v>
      </c>
      <c r="H31" s="8">
        <f t="shared" si="0"/>
        <v>87</v>
      </c>
    </row>
    <row r="32" spans="1:8" ht="18.75">
      <c r="A32" s="30">
        <v>21</v>
      </c>
      <c r="B32" s="30" t="s">
        <v>117</v>
      </c>
      <c r="C32" s="31" t="s">
        <v>118</v>
      </c>
      <c r="D32" s="8">
        <v>20</v>
      </c>
      <c r="E32" s="12">
        <v>20</v>
      </c>
      <c r="F32" s="8">
        <v>40</v>
      </c>
      <c r="G32" s="81">
        <v>6</v>
      </c>
      <c r="H32" s="8">
        <f t="shared" si="0"/>
        <v>86</v>
      </c>
    </row>
    <row r="33" spans="1:8" ht="18.75">
      <c r="A33" s="30">
        <v>22</v>
      </c>
      <c r="B33" s="30" t="s">
        <v>119</v>
      </c>
      <c r="C33" s="31" t="s">
        <v>120</v>
      </c>
      <c r="D33" s="8">
        <v>20</v>
      </c>
      <c r="E33" s="12">
        <v>20</v>
      </c>
      <c r="F33" s="8">
        <v>43</v>
      </c>
      <c r="G33" s="81">
        <v>4</v>
      </c>
      <c r="H33" s="8">
        <f t="shared" si="0"/>
        <v>87</v>
      </c>
    </row>
    <row r="34" spans="1:8" ht="18.75">
      <c r="A34" s="30">
        <v>23</v>
      </c>
      <c r="B34" s="30" t="s">
        <v>121</v>
      </c>
      <c r="C34" s="31" t="s">
        <v>122</v>
      </c>
      <c r="D34" s="8">
        <v>20</v>
      </c>
      <c r="E34" s="12">
        <v>20</v>
      </c>
      <c r="F34" s="8">
        <v>49</v>
      </c>
      <c r="G34" s="81">
        <v>10</v>
      </c>
      <c r="H34" s="8">
        <f t="shared" si="0"/>
        <v>99</v>
      </c>
    </row>
    <row r="35" spans="1:8" ht="18.75">
      <c r="A35" s="30">
        <v>24</v>
      </c>
      <c r="B35" s="30" t="s">
        <v>123</v>
      </c>
      <c r="C35" s="31" t="s">
        <v>124</v>
      </c>
      <c r="D35" s="8">
        <v>20</v>
      </c>
      <c r="E35" s="12">
        <v>20</v>
      </c>
      <c r="F35" s="8">
        <v>44</v>
      </c>
      <c r="G35" s="81">
        <v>8</v>
      </c>
      <c r="H35" s="8">
        <f t="shared" si="0"/>
        <v>92</v>
      </c>
    </row>
    <row r="36" spans="1:8" ht="18.75">
      <c r="A36" s="30">
        <v>25</v>
      </c>
      <c r="B36" s="30" t="s">
        <v>125</v>
      </c>
      <c r="C36" s="31" t="s">
        <v>126</v>
      </c>
      <c r="D36" s="8">
        <v>20</v>
      </c>
      <c r="E36" s="12">
        <v>20</v>
      </c>
      <c r="F36" s="8">
        <v>38</v>
      </c>
      <c r="G36" s="81">
        <v>8</v>
      </c>
      <c r="H36" s="8">
        <f t="shared" si="0"/>
        <v>86</v>
      </c>
    </row>
    <row r="37" spans="1:8" ht="18.75">
      <c r="A37" s="30">
        <v>26</v>
      </c>
      <c r="B37" s="30" t="s">
        <v>127</v>
      </c>
      <c r="C37" s="31" t="s">
        <v>128</v>
      </c>
      <c r="D37" s="8">
        <v>20</v>
      </c>
      <c r="E37" s="12">
        <v>20</v>
      </c>
      <c r="F37" s="8">
        <v>38</v>
      </c>
      <c r="G37" s="81">
        <v>4</v>
      </c>
      <c r="H37" s="8">
        <f t="shared" si="0"/>
        <v>82</v>
      </c>
    </row>
    <row r="38" spans="1:8" ht="18.75">
      <c r="A38" s="30">
        <v>27</v>
      </c>
      <c r="B38" s="30" t="s">
        <v>129</v>
      </c>
      <c r="C38" s="31" t="s">
        <v>130</v>
      </c>
      <c r="D38" s="8">
        <v>20</v>
      </c>
      <c r="E38" s="12">
        <v>20</v>
      </c>
      <c r="F38" s="8">
        <v>39</v>
      </c>
      <c r="G38" s="81">
        <v>6</v>
      </c>
      <c r="H38" s="8">
        <f t="shared" si="0"/>
        <v>85</v>
      </c>
    </row>
    <row r="39" spans="1:8" ht="18.75">
      <c r="A39" s="30">
        <v>28</v>
      </c>
      <c r="B39" s="30" t="s">
        <v>131</v>
      </c>
      <c r="C39" s="31" t="s">
        <v>132</v>
      </c>
      <c r="D39" s="8">
        <v>20</v>
      </c>
      <c r="E39" s="12">
        <v>20</v>
      </c>
      <c r="F39" s="8">
        <v>43</v>
      </c>
      <c r="G39" s="81">
        <v>4</v>
      </c>
      <c r="H39" s="8">
        <f t="shared" si="0"/>
        <v>87</v>
      </c>
    </row>
    <row r="40" spans="1:8" ht="18.75">
      <c r="A40" s="30">
        <v>29</v>
      </c>
      <c r="B40" s="30" t="s">
        <v>133</v>
      </c>
      <c r="C40" s="31" t="s">
        <v>134</v>
      </c>
      <c r="D40" s="8">
        <v>20</v>
      </c>
      <c r="E40" s="12">
        <v>20</v>
      </c>
      <c r="F40" s="8">
        <v>38</v>
      </c>
      <c r="G40" s="81">
        <v>4</v>
      </c>
      <c r="H40" s="8">
        <f t="shared" si="0"/>
        <v>82</v>
      </c>
    </row>
    <row r="41" spans="1:8" ht="18.75">
      <c r="A41" s="30">
        <v>30</v>
      </c>
      <c r="B41" s="30" t="s">
        <v>135</v>
      </c>
      <c r="C41" s="31" t="s">
        <v>136</v>
      </c>
      <c r="D41" s="8">
        <v>20</v>
      </c>
      <c r="E41" s="12">
        <v>20</v>
      </c>
      <c r="F41" s="8">
        <v>49</v>
      </c>
      <c r="G41" s="81">
        <v>10</v>
      </c>
      <c r="H41" s="8">
        <f t="shared" si="0"/>
        <v>99</v>
      </c>
    </row>
    <row r="42" spans="1:8" ht="18.75">
      <c r="A42" s="30">
        <v>31</v>
      </c>
      <c r="B42" s="30" t="s">
        <v>137</v>
      </c>
      <c r="C42" s="31" t="s">
        <v>138</v>
      </c>
      <c r="D42" s="8">
        <v>20</v>
      </c>
      <c r="E42" s="12">
        <v>20</v>
      </c>
      <c r="F42" s="8">
        <v>48</v>
      </c>
      <c r="G42" s="81">
        <v>6</v>
      </c>
      <c r="H42" s="8">
        <f t="shared" si="0"/>
        <v>94</v>
      </c>
    </row>
    <row r="43" spans="1:8" ht="18.75">
      <c r="A43" s="30">
        <v>32</v>
      </c>
      <c r="B43" s="30" t="s">
        <v>139</v>
      </c>
      <c r="C43" s="31" t="s">
        <v>140</v>
      </c>
      <c r="D43" s="8">
        <v>20</v>
      </c>
      <c r="E43" s="12">
        <v>20</v>
      </c>
      <c r="F43" s="8">
        <v>49</v>
      </c>
      <c r="G43" s="81">
        <v>8</v>
      </c>
      <c r="H43" s="8">
        <f t="shared" si="0"/>
        <v>97</v>
      </c>
    </row>
    <row r="44" spans="1:8" ht="18.75">
      <c r="A44" s="30">
        <v>33</v>
      </c>
      <c r="B44" s="30" t="s">
        <v>141</v>
      </c>
      <c r="C44" s="31" t="s">
        <v>142</v>
      </c>
      <c r="D44" s="8">
        <v>20</v>
      </c>
      <c r="E44" s="12">
        <v>20</v>
      </c>
      <c r="F44" s="8">
        <v>42</v>
      </c>
      <c r="G44" s="81">
        <v>6</v>
      </c>
      <c r="H44" s="8">
        <f t="shared" si="0"/>
        <v>88</v>
      </c>
    </row>
    <row r="45" spans="1:8" ht="18.75">
      <c r="A45" s="30">
        <v>34</v>
      </c>
      <c r="B45" s="30" t="s">
        <v>143</v>
      </c>
      <c r="C45" s="31" t="s">
        <v>144</v>
      </c>
      <c r="D45" s="8">
        <v>20</v>
      </c>
      <c r="E45" s="12">
        <v>20</v>
      </c>
      <c r="F45" s="8">
        <v>49</v>
      </c>
      <c r="G45" s="81">
        <v>8</v>
      </c>
      <c r="H45" s="8">
        <f t="shared" si="0"/>
        <v>97</v>
      </c>
    </row>
    <row r="46" spans="1:8" ht="18.75">
      <c r="A46" s="30">
        <v>35</v>
      </c>
      <c r="B46" s="30" t="s">
        <v>145</v>
      </c>
      <c r="C46" s="31" t="s">
        <v>146</v>
      </c>
      <c r="D46" s="8">
        <v>20</v>
      </c>
      <c r="E46" s="12">
        <v>20</v>
      </c>
      <c r="F46" s="8">
        <v>38</v>
      </c>
      <c r="G46" s="81">
        <v>10</v>
      </c>
      <c r="H46" s="8">
        <f t="shared" si="0"/>
        <v>88</v>
      </c>
    </row>
    <row r="47" spans="1:8" ht="18.75">
      <c r="A47" s="30">
        <v>36</v>
      </c>
      <c r="B47" s="30" t="s">
        <v>147</v>
      </c>
      <c r="C47" s="31" t="s">
        <v>148</v>
      </c>
      <c r="D47" s="8">
        <v>20</v>
      </c>
      <c r="E47" s="12">
        <v>20</v>
      </c>
      <c r="F47" s="8">
        <v>40</v>
      </c>
      <c r="G47" s="81">
        <v>4</v>
      </c>
      <c r="H47" s="8">
        <f t="shared" si="0"/>
        <v>84</v>
      </c>
    </row>
    <row r="48" spans="1:8" ht="18.75">
      <c r="A48" s="30">
        <v>37</v>
      </c>
      <c r="B48" s="30" t="s">
        <v>149</v>
      </c>
      <c r="C48" s="31" t="s">
        <v>150</v>
      </c>
      <c r="D48" s="8">
        <v>20</v>
      </c>
      <c r="E48" s="12">
        <v>20</v>
      </c>
      <c r="F48" s="8">
        <v>49</v>
      </c>
      <c r="G48" s="81">
        <v>8</v>
      </c>
      <c r="H48" s="8">
        <f t="shared" si="0"/>
        <v>97</v>
      </c>
    </row>
    <row r="49" spans="1:8" ht="18.75">
      <c r="A49" s="30">
        <v>38</v>
      </c>
      <c r="B49" s="30" t="s">
        <v>151</v>
      </c>
      <c r="C49" s="31" t="s">
        <v>152</v>
      </c>
      <c r="D49" s="8">
        <v>20</v>
      </c>
      <c r="E49" s="12">
        <v>20</v>
      </c>
      <c r="F49" s="8">
        <v>43</v>
      </c>
      <c r="G49" s="81">
        <v>6</v>
      </c>
      <c r="H49" s="8">
        <f t="shared" si="0"/>
        <v>89</v>
      </c>
    </row>
    <row r="50" spans="1:8" ht="18.75">
      <c r="A50" s="30">
        <v>39</v>
      </c>
      <c r="B50" s="30" t="s">
        <v>153</v>
      </c>
      <c r="C50" s="31" t="s">
        <v>154</v>
      </c>
      <c r="D50" s="8">
        <v>20</v>
      </c>
      <c r="E50" s="12">
        <v>20</v>
      </c>
      <c r="F50" s="8">
        <v>40</v>
      </c>
      <c r="G50" s="81">
        <v>4</v>
      </c>
      <c r="H50" s="8">
        <f t="shared" si="0"/>
        <v>84</v>
      </c>
    </row>
    <row r="51" spans="1:8" ht="18.75">
      <c r="A51" s="30">
        <v>40</v>
      </c>
      <c r="B51" s="30" t="s">
        <v>155</v>
      </c>
      <c r="C51" s="31" t="s">
        <v>156</v>
      </c>
      <c r="D51" s="8">
        <v>20</v>
      </c>
      <c r="E51" s="12">
        <v>20</v>
      </c>
      <c r="F51" s="8">
        <v>47</v>
      </c>
      <c r="G51" s="81">
        <v>6</v>
      </c>
      <c r="H51" s="8">
        <f t="shared" si="0"/>
        <v>93</v>
      </c>
    </row>
    <row r="52" spans="1:8" ht="18.75">
      <c r="A52" s="30">
        <v>41</v>
      </c>
      <c r="B52" s="30" t="s">
        <v>157</v>
      </c>
      <c r="C52" s="31" t="s">
        <v>158</v>
      </c>
      <c r="D52" s="8">
        <v>20</v>
      </c>
      <c r="E52" s="12">
        <v>20</v>
      </c>
      <c r="F52" s="8">
        <v>38</v>
      </c>
      <c r="G52" s="81">
        <v>10</v>
      </c>
      <c r="H52" s="8">
        <f t="shared" si="0"/>
        <v>88</v>
      </c>
    </row>
    <row r="53" spans="1:8" ht="18.75">
      <c r="A53" s="30">
        <v>42</v>
      </c>
      <c r="B53" s="30" t="s">
        <v>159</v>
      </c>
      <c r="C53" s="31" t="s">
        <v>160</v>
      </c>
      <c r="D53" s="8">
        <v>20</v>
      </c>
      <c r="E53" s="12">
        <v>20</v>
      </c>
      <c r="F53" s="8">
        <v>38</v>
      </c>
      <c r="G53" s="81">
        <v>2</v>
      </c>
      <c r="H53" s="8">
        <f t="shared" si="0"/>
        <v>80</v>
      </c>
    </row>
    <row r="54" spans="1:8" ht="18.75">
      <c r="A54" s="30">
        <v>43</v>
      </c>
      <c r="B54" s="30" t="s">
        <v>161</v>
      </c>
      <c r="C54" s="31" t="s">
        <v>162</v>
      </c>
      <c r="D54" s="8">
        <v>20</v>
      </c>
      <c r="E54" s="12">
        <v>20</v>
      </c>
      <c r="F54" s="8">
        <v>38</v>
      </c>
      <c r="G54" s="81">
        <v>6</v>
      </c>
      <c r="H54" s="8">
        <f t="shared" si="0"/>
        <v>84</v>
      </c>
    </row>
    <row r="55" spans="1:8" ht="18.75">
      <c r="A55" s="30">
        <v>44</v>
      </c>
      <c r="B55" s="30" t="s">
        <v>163</v>
      </c>
      <c r="C55" s="31" t="s">
        <v>164</v>
      </c>
      <c r="D55" s="8">
        <v>20</v>
      </c>
      <c r="E55" s="12">
        <v>20</v>
      </c>
      <c r="F55" s="8">
        <v>45</v>
      </c>
      <c r="G55" s="81">
        <v>6</v>
      </c>
      <c r="H55" s="8">
        <f t="shared" si="0"/>
        <v>91</v>
      </c>
    </row>
    <row r="56" spans="1:8" ht="18.75">
      <c r="A56" s="30">
        <v>45</v>
      </c>
      <c r="B56" s="30" t="s">
        <v>165</v>
      </c>
      <c r="C56" s="31" t="s">
        <v>166</v>
      </c>
      <c r="D56" s="8">
        <v>20</v>
      </c>
      <c r="E56" s="12">
        <v>20</v>
      </c>
      <c r="F56" s="8">
        <v>38</v>
      </c>
      <c r="G56" s="81">
        <v>4</v>
      </c>
      <c r="H56" s="8">
        <f t="shared" si="0"/>
        <v>82</v>
      </c>
    </row>
    <row r="57" spans="1:8" ht="18.75">
      <c r="A57" s="30">
        <v>46</v>
      </c>
      <c r="B57" s="30" t="s">
        <v>167</v>
      </c>
      <c r="C57" s="31" t="s">
        <v>168</v>
      </c>
      <c r="D57" s="8">
        <v>20</v>
      </c>
      <c r="E57" s="12">
        <v>20</v>
      </c>
      <c r="F57" s="8">
        <v>38</v>
      </c>
      <c r="G57" s="81">
        <v>6</v>
      </c>
      <c r="H57" s="8">
        <f t="shared" si="0"/>
        <v>84</v>
      </c>
    </row>
    <row r="58" spans="1:8" ht="18.75">
      <c r="A58" s="30">
        <v>47</v>
      </c>
      <c r="B58" s="30" t="s">
        <v>169</v>
      </c>
      <c r="C58" s="31" t="s">
        <v>170</v>
      </c>
      <c r="D58" s="8">
        <v>20</v>
      </c>
      <c r="E58" s="12">
        <v>20</v>
      </c>
      <c r="F58" s="8">
        <v>38</v>
      </c>
      <c r="G58" s="81">
        <v>2</v>
      </c>
      <c r="H58" s="8">
        <f t="shared" si="0"/>
        <v>80</v>
      </c>
    </row>
    <row r="59" spans="1:8" ht="18.75">
      <c r="A59" s="30">
        <v>48</v>
      </c>
      <c r="B59" s="30" t="s">
        <v>171</v>
      </c>
      <c r="C59" s="31" t="s">
        <v>172</v>
      </c>
      <c r="D59" s="8">
        <v>20</v>
      </c>
      <c r="E59" s="12">
        <v>20</v>
      </c>
      <c r="F59" s="8">
        <v>38</v>
      </c>
      <c r="G59" s="81">
        <v>2</v>
      </c>
      <c r="H59" s="8">
        <f t="shared" si="0"/>
        <v>80</v>
      </c>
    </row>
    <row r="60" spans="1:8" ht="18.75">
      <c r="A60" s="30">
        <v>49</v>
      </c>
      <c r="B60" s="30" t="s">
        <v>173</v>
      </c>
      <c r="C60" s="31" t="s">
        <v>176</v>
      </c>
      <c r="D60" s="8">
        <v>20</v>
      </c>
      <c r="E60" s="12">
        <v>20</v>
      </c>
      <c r="F60" s="8">
        <v>40</v>
      </c>
      <c r="G60" s="81">
        <v>8</v>
      </c>
      <c r="H60" s="8">
        <f t="shared" si="0"/>
        <v>88</v>
      </c>
    </row>
    <row r="61" spans="1:8" ht="18.75">
      <c r="A61" s="30">
        <v>50</v>
      </c>
      <c r="B61" s="30" t="s">
        <v>174</v>
      </c>
      <c r="C61" s="31" t="s">
        <v>175</v>
      </c>
      <c r="D61" s="8">
        <v>20</v>
      </c>
      <c r="E61" s="12">
        <v>20</v>
      </c>
      <c r="F61" s="8">
        <v>39</v>
      </c>
      <c r="G61" s="81">
        <v>4</v>
      </c>
      <c r="H61" s="8">
        <f t="shared" si="0"/>
        <v>83</v>
      </c>
    </row>
    <row r="65" spans="2:8" ht="15.75">
      <c r="B65" s="9" t="s">
        <v>36</v>
      </c>
      <c r="D65" s="9" t="s">
        <v>37</v>
      </c>
      <c r="H65" s="9" t="s">
        <v>38</v>
      </c>
    </row>
    <row r="66" spans="2:8" ht="15.75">
      <c r="B66" s="11" t="s">
        <v>39</v>
      </c>
      <c r="D66" s="11" t="s">
        <v>40</v>
      </c>
      <c r="H66" s="11" t="s">
        <v>41</v>
      </c>
    </row>
  </sheetData>
  <mergeCells count="7">
    <mergeCell ref="A6:H6"/>
    <mergeCell ref="A8:B8"/>
    <mergeCell ref="D8:F8"/>
    <mergeCell ref="G8:H8"/>
    <mergeCell ref="A9:B9"/>
    <mergeCell ref="D9:F9"/>
    <mergeCell ref="G9:H9"/>
  </mergeCells>
  <pageMargins left="0.7" right="0.7" top="0.75" bottom="0.75" header="0.3" footer="0.3"/>
  <pageSetup scale="7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66"/>
  <sheetViews>
    <sheetView topLeftCell="A55" workbookViewId="0">
      <selection activeCell="E69" sqref="E69"/>
    </sheetView>
  </sheetViews>
  <sheetFormatPr defaultColWidth="9" defaultRowHeight="15"/>
  <cols>
    <col min="1" max="1" width="6.28515625" customWidth="1"/>
    <col min="2" max="2" width="28.85546875" customWidth="1"/>
    <col min="3" max="3" width="36" customWidth="1"/>
    <col min="4" max="4" width="17.5703125" customWidth="1"/>
    <col min="5" max="5" width="16.7109375" customWidth="1"/>
    <col min="6" max="6" width="19.140625" customWidth="1"/>
    <col min="7" max="7" width="18.85546875" customWidth="1"/>
    <col min="8" max="8" width="24.28515625" customWidth="1"/>
  </cols>
  <sheetData>
    <row r="6" spans="1:8" ht="15.75">
      <c r="A6" s="84" t="s">
        <v>0</v>
      </c>
      <c r="B6" s="85"/>
      <c r="C6" s="85"/>
      <c r="D6" s="85"/>
      <c r="E6" s="85"/>
      <c r="F6" s="85"/>
      <c r="G6" s="85"/>
      <c r="H6" s="85"/>
    </row>
    <row r="7" spans="1:8">
      <c r="A7" s="1"/>
      <c r="B7" s="1"/>
      <c r="C7" s="1"/>
      <c r="D7" s="1"/>
      <c r="E7" s="1"/>
      <c r="F7" s="1"/>
      <c r="G7" s="1"/>
      <c r="H7" s="1"/>
    </row>
    <row r="8" spans="1:8" ht="15.75">
      <c r="A8" s="110" t="s">
        <v>63</v>
      </c>
      <c r="B8" s="111"/>
      <c r="C8" s="55" t="s">
        <v>201</v>
      </c>
      <c r="D8" s="111" t="s">
        <v>52</v>
      </c>
      <c r="E8" s="111"/>
      <c r="F8" s="111"/>
      <c r="G8" s="110" t="s">
        <v>221</v>
      </c>
      <c r="H8" s="111"/>
    </row>
    <row r="9" spans="1:8" ht="30.75" customHeight="1">
      <c r="A9" s="110" t="s">
        <v>200</v>
      </c>
      <c r="B9" s="111"/>
      <c r="C9" s="55" t="s">
        <v>202</v>
      </c>
      <c r="D9" s="111" t="s">
        <v>53</v>
      </c>
      <c r="E9" s="111"/>
      <c r="F9" s="111"/>
      <c r="G9" s="112" t="s">
        <v>209</v>
      </c>
      <c r="H9" s="113"/>
    </row>
    <row r="10" spans="1:8">
      <c r="A10" s="2"/>
      <c r="B10" s="2"/>
      <c r="C10" s="2"/>
      <c r="D10" s="3"/>
      <c r="E10" s="2"/>
      <c r="F10" s="2"/>
      <c r="G10" s="2"/>
      <c r="H10" s="2"/>
    </row>
    <row r="11" spans="1:8" ht="63">
      <c r="A11" s="4" t="s">
        <v>14</v>
      </c>
      <c r="B11" s="5" t="s">
        <v>15</v>
      </c>
      <c r="C11" s="5" t="s">
        <v>16</v>
      </c>
      <c r="D11" s="80" t="s">
        <v>212</v>
      </c>
      <c r="E11" s="80" t="s">
        <v>211</v>
      </c>
      <c r="F11" s="80" t="s">
        <v>210</v>
      </c>
      <c r="G11" s="6" t="s">
        <v>213</v>
      </c>
      <c r="H11" s="80" t="s">
        <v>208</v>
      </c>
    </row>
    <row r="12" spans="1:8" ht="18.75">
      <c r="A12" s="30">
        <v>1</v>
      </c>
      <c r="B12" s="30" t="s">
        <v>77</v>
      </c>
      <c r="C12" s="31" t="s">
        <v>78</v>
      </c>
      <c r="D12" s="8">
        <v>20</v>
      </c>
      <c r="E12" s="12">
        <v>20</v>
      </c>
      <c r="F12" s="8">
        <v>47</v>
      </c>
      <c r="G12" s="81">
        <v>10</v>
      </c>
      <c r="H12" s="8">
        <f>SUM(D12:G12)</f>
        <v>97</v>
      </c>
    </row>
    <row r="13" spans="1:8" ht="18.75">
      <c r="A13" s="30">
        <v>2</v>
      </c>
      <c r="B13" s="30" t="s">
        <v>79</v>
      </c>
      <c r="C13" s="31" t="s">
        <v>80</v>
      </c>
      <c r="D13" s="8">
        <v>20</v>
      </c>
      <c r="E13" s="12">
        <v>20</v>
      </c>
      <c r="F13" s="8">
        <v>50</v>
      </c>
      <c r="G13" s="81">
        <v>6</v>
      </c>
      <c r="H13" s="8">
        <f t="shared" ref="H13:H61" si="0">SUM(D13:G13)</f>
        <v>96</v>
      </c>
    </row>
    <row r="14" spans="1:8" ht="18.75">
      <c r="A14" s="30">
        <v>3</v>
      </c>
      <c r="B14" s="30" t="s">
        <v>81</v>
      </c>
      <c r="C14" s="31" t="s">
        <v>82</v>
      </c>
      <c r="D14" s="8">
        <v>20</v>
      </c>
      <c r="E14" s="12">
        <v>20</v>
      </c>
      <c r="F14" s="8">
        <v>43</v>
      </c>
      <c r="G14" s="81">
        <v>8</v>
      </c>
      <c r="H14" s="8">
        <f t="shared" si="0"/>
        <v>91</v>
      </c>
    </row>
    <row r="15" spans="1:8" ht="18.75">
      <c r="A15" s="30">
        <v>4</v>
      </c>
      <c r="B15" s="30" t="s">
        <v>83</v>
      </c>
      <c r="C15" s="31" t="s">
        <v>84</v>
      </c>
      <c r="D15" s="8">
        <v>20</v>
      </c>
      <c r="E15" s="12">
        <v>20</v>
      </c>
      <c r="F15" s="8">
        <v>43</v>
      </c>
      <c r="G15" s="81">
        <v>6</v>
      </c>
      <c r="H15" s="8">
        <f t="shared" si="0"/>
        <v>89</v>
      </c>
    </row>
    <row r="16" spans="1:8" ht="18.75">
      <c r="A16" s="30">
        <v>5</v>
      </c>
      <c r="B16" s="30" t="s">
        <v>85</v>
      </c>
      <c r="C16" s="31" t="s">
        <v>86</v>
      </c>
      <c r="D16" s="8">
        <v>20</v>
      </c>
      <c r="E16" s="12">
        <v>20</v>
      </c>
      <c r="F16" s="8">
        <v>44</v>
      </c>
      <c r="G16" s="81">
        <v>4</v>
      </c>
      <c r="H16" s="8">
        <f t="shared" si="0"/>
        <v>88</v>
      </c>
    </row>
    <row r="17" spans="1:8" ht="18.75">
      <c r="A17" s="30">
        <v>6</v>
      </c>
      <c r="B17" s="30" t="s">
        <v>87</v>
      </c>
      <c r="C17" s="31" t="s">
        <v>88</v>
      </c>
      <c r="D17" s="8">
        <v>20</v>
      </c>
      <c r="E17" s="12">
        <v>20</v>
      </c>
      <c r="F17" s="8">
        <v>50</v>
      </c>
      <c r="G17" s="81">
        <v>8</v>
      </c>
      <c r="H17" s="8">
        <f t="shared" si="0"/>
        <v>98</v>
      </c>
    </row>
    <row r="18" spans="1:8" ht="18.75">
      <c r="A18" s="30">
        <v>7</v>
      </c>
      <c r="B18" s="30" t="s">
        <v>89</v>
      </c>
      <c r="C18" s="31" t="s">
        <v>90</v>
      </c>
      <c r="D18" s="8">
        <v>20</v>
      </c>
      <c r="E18" s="12">
        <v>20</v>
      </c>
      <c r="F18" s="8">
        <v>50</v>
      </c>
      <c r="G18" s="81">
        <v>8</v>
      </c>
      <c r="H18" s="8">
        <f t="shared" si="0"/>
        <v>98</v>
      </c>
    </row>
    <row r="19" spans="1:8" ht="18.75">
      <c r="A19" s="30">
        <v>8</v>
      </c>
      <c r="B19" s="30" t="s">
        <v>91</v>
      </c>
      <c r="C19" s="31" t="s">
        <v>92</v>
      </c>
      <c r="D19" s="8">
        <v>20</v>
      </c>
      <c r="E19" s="12">
        <v>20</v>
      </c>
      <c r="F19" s="8">
        <v>50</v>
      </c>
      <c r="G19" s="81">
        <v>8</v>
      </c>
      <c r="H19" s="8">
        <f t="shared" si="0"/>
        <v>98</v>
      </c>
    </row>
    <row r="20" spans="1:8" ht="18.75">
      <c r="A20" s="30">
        <v>9</v>
      </c>
      <c r="B20" s="30" t="s">
        <v>93</v>
      </c>
      <c r="C20" s="31" t="s">
        <v>94</v>
      </c>
      <c r="D20" s="8">
        <v>20</v>
      </c>
      <c r="E20" s="12">
        <v>20</v>
      </c>
      <c r="F20" s="8">
        <v>49</v>
      </c>
      <c r="G20" s="81">
        <v>10</v>
      </c>
      <c r="H20" s="8">
        <f t="shared" si="0"/>
        <v>99</v>
      </c>
    </row>
    <row r="21" spans="1:8" ht="18.75">
      <c r="A21" s="30">
        <v>10</v>
      </c>
      <c r="B21" s="30" t="s">
        <v>95</v>
      </c>
      <c r="C21" s="31" t="s">
        <v>96</v>
      </c>
      <c r="D21" s="8">
        <v>20</v>
      </c>
      <c r="E21" s="12">
        <v>20</v>
      </c>
      <c r="F21" s="8">
        <v>44</v>
      </c>
      <c r="G21" s="81">
        <v>6</v>
      </c>
      <c r="H21" s="8">
        <f t="shared" si="0"/>
        <v>90</v>
      </c>
    </row>
    <row r="22" spans="1:8" ht="18.75">
      <c r="A22" s="30">
        <v>11</v>
      </c>
      <c r="B22" s="30" t="s">
        <v>97</v>
      </c>
      <c r="C22" s="31" t="s">
        <v>98</v>
      </c>
      <c r="D22" s="8">
        <v>20</v>
      </c>
      <c r="E22" s="12">
        <v>20</v>
      </c>
      <c r="F22" s="8">
        <v>40</v>
      </c>
      <c r="G22" s="81">
        <v>4</v>
      </c>
      <c r="H22" s="8">
        <f t="shared" si="0"/>
        <v>84</v>
      </c>
    </row>
    <row r="23" spans="1:8" ht="18.75">
      <c r="A23" s="30">
        <v>12</v>
      </c>
      <c r="B23" s="30" t="s">
        <v>99</v>
      </c>
      <c r="C23" s="31" t="s">
        <v>100</v>
      </c>
      <c r="D23" s="8">
        <v>20</v>
      </c>
      <c r="E23" s="12">
        <v>20</v>
      </c>
      <c r="F23" s="8">
        <v>48</v>
      </c>
      <c r="G23" s="81">
        <v>6</v>
      </c>
      <c r="H23" s="8">
        <f t="shared" si="0"/>
        <v>94</v>
      </c>
    </row>
    <row r="24" spans="1:8" ht="18.75">
      <c r="A24" s="30">
        <v>13</v>
      </c>
      <c r="B24" s="30" t="s">
        <v>101</v>
      </c>
      <c r="C24" s="31" t="s">
        <v>102</v>
      </c>
      <c r="D24" s="8">
        <v>20</v>
      </c>
      <c r="E24" s="12">
        <v>20</v>
      </c>
      <c r="F24" s="8">
        <v>42</v>
      </c>
      <c r="G24" s="81">
        <v>0</v>
      </c>
      <c r="H24" s="8">
        <f t="shared" si="0"/>
        <v>82</v>
      </c>
    </row>
    <row r="25" spans="1:8" ht="18.75">
      <c r="A25" s="30">
        <v>14</v>
      </c>
      <c r="B25" s="30" t="s">
        <v>103</v>
      </c>
      <c r="C25" s="31" t="s">
        <v>104</v>
      </c>
      <c r="D25" s="8">
        <v>20</v>
      </c>
      <c r="E25" s="12">
        <v>20</v>
      </c>
      <c r="F25" s="8">
        <v>49</v>
      </c>
      <c r="G25" s="81">
        <v>10</v>
      </c>
      <c r="H25" s="8">
        <f t="shared" si="0"/>
        <v>99</v>
      </c>
    </row>
    <row r="26" spans="1:8" ht="18.75">
      <c r="A26" s="30">
        <v>15</v>
      </c>
      <c r="B26" s="30" t="s">
        <v>105</v>
      </c>
      <c r="C26" s="31" t="s">
        <v>106</v>
      </c>
      <c r="D26" s="8">
        <v>20</v>
      </c>
      <c r="E26" s="12">
        <v>20</v>
      </c>
      <c r="F26" s="8">
        <v>48</v>
      </c>
      <c r="G26" s="81">
        <v>6</v>
      </c>
      <c r="H26" s="8">
        <f t="shared" si="0"/>
        <v>94</v>
      </c>
    </row>
    <row r="27" spans="1:8" ht="18.75">
      <c r="A27" s="30">
        <v>16</v>
      </c>
      <c r="B27" s="30" t="s">
        <v>107</v>
      </c>
      <c r="C27" s="31" t="s">
        <v>108</v>
      </c>
      <c r="D27" s="8">
        <v>20</v>
      </c>
      <c r="E27" s="12">
        <v>20</v>
      </c>
      <c r="F27" s="8">
        <v>40</v>
      </c>
      <c r="G27" s="81">
        <v>0</v>
      </c>
      <c r="H27" s="8">
        <f t="shared" si="0"/>
        <v>80</v>
      </c>
    </row>
    <row r="28" spans="1:8" ht="18.75">
      <c r="A28" s="30">
        <v>17</v>
      </c>
      <c r="B28" s="30" t="s">
        <v>109</v>
      </c>
      <c r="C28" s="31" t="s">
        <v>110</v>
      </c>
      <c r="D28" s="8">
        <v>20</v>
      </c>
      <c r="E28" s="12">
        <v>20</v>
      </c>
      <c r="F28" s="8">
        <v>45</v>
      </c>
      <c r="G28" s="81">
        <v>8</v>
      </c>
      <c r="H28" s="8">
        <f t="shared" si="0"/>
        <v>93</v>
      </c>
    </row>
    <row r="29" spans="1:8" ht="18.75">
      <c r="A29" s="30">
        <v>18</v>
      </c>
      <c r="B29" s="30" t="s">
        <v>111</v>
      </c>
      <c r="C29" s="31" t="s">
        <v>112</v>
      </c>
      <c r="D29" s="8">
        <v>20</v>
      </c>
      <c r="E29" s="12">
        <v>20</v>
      </c>
      <c r="F29" s="8">
        <v>42</v>
      </c>
      <c r="G29" s="81">
        <v>4</v>
      </c>
      <c r="H29" s="8">
        <f t="shared" si="0"/>
        <v>86</v>
      </c>
    </row>
    <row r="30" spans="1:8" ht="18.75">
      <c r="A30" s="30">
        <v>19</v>
      </c>
      <c r="B30" s="30" t="s">
        <v>113</v>
      </c>
      <c r="C30" s="31" t="s">
        <v>114</v>
      </c>
      <c r="D30" s="8">
        <v>20</v>
      </c>
      <c r="E30" s="12">
        <v>20</v>
      </c>
      <c r="F30" s="8">
        <v>49</v>
      </c>
      <c r="G30" s="81">
        <v>8</v>
      </c>
      <c r="H30" s="8">
        <f t="shared" si="0"/>
        <v>97</v>
      </c>
    </row>
    <row r="31" spans="1:8" ht="18.75">
      <c r="A31" s="30">
        <v>20</v>
      </c>
      <c r="B31" s="30" t="s">
        <v>115</v>
      </c>
      <c r="C31" s="31" t="s">
        <v>116</v>
      </c>
      <c r="D31" s="8">
        <v>20</v>
      </c>
      <c r="E31" s="12">
        <v>20</v>
      </c>
      <c r="F31" s="8">
        <v>47</v>
      </c>
      <c r="G31" s="81">
        <v>8</v>
      </c>
      <c r="H31" s="8">
        <f t="shared" si="0"/>
        <v>95</v>
      </c>
    </row>
    <row r="32" spans="1:8" ht="18.75">
      <c r="A32" s="30">
        <v>21</v>
      </c>
      <c r="B32" s="30" t="s">
        <v>117</v>
      </c>
      <c r="C32" s="31" t="s">
        <v>118</v>
      </c>
      <c r="D32" s="8">
        <v>20</v>
      </c>
      <c r="E32" s="12">
        <v>20</v>
      </c>
      <c r="F32" s="8">
        <v>49</v>
      </c>
      <c r="G32" s="81">
        <v>6</v>
      </c>
      <c r="H32" s="8">
        <f t="shared" si="0"/>
        <v>95</v>
      </c>
    </row>
    <row r="33" spans="1:8" ht="18.75">
      <c r="A33" s="30">
        <v>22</v>
      </c>
      <c r="B33" s="30" t="s">
        <v>119</v>
      </c>
      <c r="C33" s="31" t="s">
        <v>120</v>
      </c>
      <c r="D33" s="8">
        <v>20</v>
      </c>
      <c r="E33" s="12">
        <v>20</v>
      </c>
      <c r="F33" s="8">
        <v>47</v>
      </c>
      <c r="G33" s="81">
        <v>4</v>
      </c>
      <c r="H33" s="8">
        <f t="shared" si="0"/>
        <v>91</v>
      </c>
    </row>
    <row r="34" spans="1:8" ht="18.75">
      <c r="A34" s="30">
        <v>23</v>
      </c>
      <c r="B34" s="30" t="s">
        <v>121</v>
      </c>
      <c r="C34" s="31" t="s">
        <v>122</v>
      </c>
      <c r="D34" s="8">
        <v>20</v>
      </c>
      <c r="E34" s="12">
        <v>20</v>
      </c>
      <c r="F34" s="8">
        <v>49</v>
      </c>
      <c r="G34" s="81">
        <v>10</v>
      </c>
      <c r="H34" s="8">
        <f t="shared" si="0"/>
        <v>99</v>
      </c>
    </row>
    <row r="35" spans="1:8" ht="18.75">
      <c r="A35" s="30">
        <v>24</v>
      </c>
      <c r="B35" s="30" t="s">
        <v>123</v>
      </c>
      <c r="C35" s="31" t="s">
        <v>124</v>
      </c>
      <c r="D35" s="8">
        <v>20</v>
      </c>
      <c r="E35" s="12">
        <v>20</v>
      </c>
      <c r="F35" s="8">
        <v>50</v>
      </c>
      <c r="G35" s="81">
        <v>8</v>
      </c>
      <c r="H35" s="8">
        <f t="shared" si="0"/>
        <v>98</v>
      </c>
    </row>
    <row r="36" spans="1:8" ht="18.75">
      <c r="A36" s="30">
        <v>25</v>
      </c>
      <c r="B36" s="30" t="s">
        <v>125</v>
      </c>
      <c r="C36" s="31" t="s">
        <v>126</v>
      </c>
      <c r="D36" s="8">
        <v>20</v>
      </c>
      <c r="E36" s="12">
        <v>20</v>
      </c>
      <c r="F36" s="8">
        <v>43</v>
      </c>
      <c r="G36" s="81">
        <v>8</v>
      </c>
      <c r="H36" s="8">
        <f t="shared" si="0"/>
        <v>91</v>
      </c>
    </row>
    <row r="37" spans="1:8" ht="18.75">
      <c r="A37" s="30">
        <v>26</v>
      </c>
      <c r="B37" s="30" t="s">
        <v>127</v>
      </c>
      <c r="C37" s="31" t="s">
        <v>128</v>
      </c>
      <c r="D37" s="8">
        <v>20</v>
      </c>
      <c r="E37" s="12">
        <v>20</v>
      </c>
      <c r="F37" s="8">
        <v>42</v>
      </c>
      <c r="G37" s="81">
        <v>4</v>
      </c>
      <c r="H37" s="8">
        <f t="shared" si="0"/>
        <v>86</v>
      </c>
    </row>
    <row r="38" spans="1:8" ht="18.75">
      <c r="A38" s="30">
        <v>27</v>
      </c>
      <c r="B38" s="30" t="s">
        <v>129</v>
      </c>
      <c r="C38" s="31" t="s">
        <v>130</v>
      </c>
      <c r="D38" s="8">
        <v>20</v>
      </c>
      <c r="E38" s="12">
        <v>20</v>
      </c>
      <c r="F38" s="8">
        <v>42</v>
      </c>
      <c r="G38" s="81">
        <v>6</v>
      </c>
      <c r="H38" s="8">
        <f t="shared" si="0"/>
        <v>88</v>
      </c>
    </row>
    <row r="39" spans="1:8" ht="18.75">
      <c r="A39" s="30">
        <v>28</v>
      </c>
      <c r="B39" s="30" t="s">
        <v>131</v>
      </c>
      <c r="C39" s="31" t="s">
        <v>132</v>
      </c>
      <c r="D39" s="8">
        <v>20</v>
      </c>
      <c r="E39" s="12">
        <v>20</v>
      </c>
      <c r="F39" s="8">
        <v>47</v>
      </c>
      <c r="G39" s="81">
        <v>4</v>
      </c>
      <c r="H39" s="8">
        <f t="shared" si="0"/>
        <v>91</v>
      </c>
    </row>
    <row r="40" spans="1:8" ht="18.75">
      <c r="A40" s="30">
        <v>29</v>
      </c>
      <c r="B40" s="30" t="s">
        <v>133</v>
      </c>
      <c r="C40" s="31" t="s">
        <v>134</v>
      </c>
      <c r="D40" s="8">
        <v>20</v>
      </c>
      <c r="E40" s="12">
        <v>20</v>
      </c>
      <c r="F40" s="8">
        <v>47</v>
      </c>
      <c r="G40" s="81">
        <v>4</v>
      </c>
      <c r="H40" s="8">
        <f t="shared" si="0"/>
        <v>91</v>
      </c>
    </row>
    <row r="41" spans="1:8" ht="18.75">
      <c r="A41" s="30">
        <v>30</v>
      </c>
      <c r="B41" s="30" t="s">
        <v>135</v>
      </c>
      <c r="C41" s="31" t="s">
        <v>136</v>
      </c>
      <c r="D41" s="8">
        <v>20</v>
      </c>
      <c r="E41" s="12">
        <v>20</v>
      </c>
      <c r="F41" s="8">
        <v>49</v>
      </c>
      <c r="G41" s="81">
        <v>10</v>
      </c>
      <c r="H41" s="8">
        <f t="shared" si="0"/>
        <v>99</v>
      </c>
    </row>
    <row r="42" spans="1:8" ht="18.75">
      <c r="A42" s="30">
        <v>31</v>
      </c>
      <c r="B42" s="30" t="s">
        <v>137</v>
      </c>
      <c r="C42" s="31" t="s">
        <v>138</v>
      </c>
      <c r="D42" s="8">
        <v>20</v>
      </c>
      <c r="E42" s="12">
        <v>20</v>
      </c>
      <c r="F42" s="8">
        <v>50</v>
      </c>
      <c r="G42" s="81">
        <v>6</v>
      </c>
      <c r="H42" s="8">
        <f t="shared" si="0"/>
        <v>96</v>
      </c>
    </row>
    <row r="43" spans="1:8" ht="18.75">
      <c r="A43" s="30">
        <v>32</v>
      </c>
      <c r="B43" s="30" t="s">
        <v>139</v>
      </c>
      <c r="C43" s="31" t="s">
        <v>140</v>
      </c>
      <c r="D43" s="8">
        <v>20</v>
      </c>
      <c r="E43" s="12">
        <v>20</v>
      </c>
      <c r="F43" s="8">
        <v>50</v>
      </c>
      <c r="G43" s="81">
        <v>8</v>
      </c>
      <c r="H43" s="8">
        <f t="shared" si="0"/>
        <v>98</v>
      </c>
    </row>
    <row r="44" spans="1:8" ht="18.75">
      <c r="A44" s="30">
        <v>33</v>
      </c>
      <c r="B44" s="30" t="s">
        <v>141</v>
      </c>
      <c r="C44" s="31" t="s">
        <v>142</v>
      </c>
      <c r="D44" s="8">
        <v>20</v>
      </c>
      <c r="E44" s="12">
        <v>20</v>
      </c>
      <c r="F44" s="8">
        <v>48</v>
      </c>
      <c r="G44" s="81">
        <v>6</v>
      </c>
      <c r="H44" s="8">
        <f t="shared" si="0"/>
        <v>94</v>
      </c>
    </row>
    <row r="45" spans="1:8" ht="18.75">
      <c r="A45" s="30">
        <v>34</v>
      </c>
      <c r="B45" s="30" t="s">
        <v>143</v>
      </c>
      <c r="C45" s="31" t="s">
        <v>144</v>
      </c>
      <c r="D45" s="8">
        <v>20</v>
      </c>
      <c r="E45" s="12">
        <v>20</v>
      </c>
      <c r="F45" s="8">
        <v>50</v>
      </c>
      <c r="G45" s="81">
        <v>8</v>
      </c>
      <c r="H45" s="8">
        <f t="shared" si="0"/>
        <v>98</v>
      </c>
    </row>
    <row r="46" spans="1:8" ht="18.75">
      <c r="A46" s="30">
        <v>35</v>
      </c>
      <c r="B46" s="30" t="s">
        <v>145</v>
      </c>
      <c r="C46" s="31" t="s">
        <v>146</v>
      </c>
      <c r="D46" s="8">
        <v>20</v>
      </c>
      <c r="E46" s="12">
        <v>20</v>
      </c>
      <c r="F46" s="8">
        <v>49</v>
      </c>
      <c r="G46" s="81">
        <v>10</v>
      </c>
      <c r="H46" s="8">
        <f t="shared" si="0"/>
        <v>99</v>
      </c>
    </row>
    <row r="47" spans="1:8" ht="18.75">
      <c r="A47" s="30">
        <v>36</v>
      </c>
      <c r="B47" s="30" t="s">
        <v>147</v>
      </c>
      <c r="C47" s="31" t="s">
        <v>148</v>
      </c>
      <c r="D47" s="8">
        <v>20</v>
      </c>
      <c r="E47" s="12">
        <v>20</v>
      </c>
      <c r="F47" s="8">
        <v>44</v>
      </c>
      <c r="G47" s="81">
        <v>4</v>
      </c>
      <c r="H47" s="8">
        <f t="shared" si="0"/>
        <v>88</v>
      </c>
    </row>
    <row r="48" spans="1:8" ht="18.75">
      <c r="A48" s="30">
        <v>37</v>
      </c>
      <c r="B48" s="30" t="s">
        <v>149</v>
      </c>
      <c r="C48" s="31" t="s">
        <v>150</v>
      </c>
      <c r="D48" s="8">
        <v>20</v>
      </c>
      <c r="E48" s="12">
        <v>20</v>
      </c>
      <c r="F48" s="8">
        <v>50</v>
      </c>
      <c r="G48" s="81">
        <v>8</v>
      </c>
      <c r="H48" s="8">
        <f t="shared" si="0"/>
        <v>98</v>
      </c>
    </row>
    <row r="49" spans="1:8" ht="18.75">
      <c r="A49" s="30">
        <v>38</v>
      </c>
      <c r="B49" s="30" t="s">
        <v>151</v>
      </c>
      <c r="C49" s="31" t="s">
        <v>152</v>
      </c>
      <c r="D49" s="8">
        <v>20</v>
      </c>
      <c r="E49" s="12">
        <v>20</v>
      </c>
      <c r="F49" s="8">
        <v>50</v>
      </c>
      <c r="G49" s="81">
        <v>6</v>
      </c>
      <c r="H49" s="8">
        <f t="shared" si="0"/>
        <v>96</v>
      </c>
    </row>
    <row r="50" spans="1:8" ht="18.75">
      <c r="A50" s="30">
        <v>39</v>
      </c>
      <c r="B50" s="30" t="s">
        <v>153</v>
      </c>
      <c r="C50" s="31" t="s">
        <v>154</v>
      </c>
      <c r="D50" s="8">
        <v>20</v>
      </c>
      <c r="E50" s="12">
        <v>20</v>
      </c>
      <c r="F50" s="8">
        <v>44</v>
      </c>
      <c r="G50" s="81">
        <v>4</v>
      </c>
      <c r="H50" s="8">
        <f t="shared" si="0"/>
        <v>88</v>
      </c>
    </row>
    <row r="51" spans="1:8" ht="18.75">
      <c r="A51" s="30">
        <v>40</v>
      </c>
      <c r="B51" s="30" t="s">
        <v>155</v>
      </c>
      <c r="C51" s="31" t="s">
        <v>156</v>
      </c>
      <c r="D51" s="8">
        <v>20</v>
      </c>
      <c r="E51" s="12">
        <v>20</v>
      </c>
      <c r="F51" s="8">
        <v>50</v>
      </c>
      <c r="G51" s="81">
        <v>6</v>
      </c>
      <c r="H51" s="8">
        <f t="shared" si="0"/>
        <v>96</v>
      </c>
    </row>
    <row r="52" spans="1:8" ht="18.75">
      <c r="A52" s="30">
        <v>41</v>
      </c>
      <c r="B52" s="30" t="s">
        <v>157</v>
      </c>
      <c r="C52" s="31" t="s">
        <v>158</v>
      </c>
      <c r="D52" s="8">
        <v>20</v>
      </c>
      <c r="E52" s="12">
        <v>20</v>
      </c>
      <c r="F52" s="8">
        <v>48</v>
      </c>
      <c r="G52" s="81">
        <v>10</v>
      </c>
      <c r="H52" s="8">
        <f t="shared" si="0"/>
        <v>98</v>
      </c>
    </row>
    <row r="53" spans="1:8" ht="18.75">
      <c r="A53" s="30">
        <v>42</v>
      </c>
      <c r="B53" s="30" t="s">
        <v>159</v>
      </c>
      <c r="C53" s="31" t="s">
        <v>160</v>
      </c>
      <c r="D53" s="8">
        <v>20</v>
      </c>
      <c r="E53" s="12">
        <v>20</v>
      </c>
      <c r="F53" s="8">
        <v>40</v>
      </c>
      <c r="G53" s="81">
        <v>2</v>
      </c>
      <c r="H53" s="8">
        <f t="shared" si="0"/>
        <v>82</v>
      </c>
    </row>
    <row r="54" spans="1:8" ht="18.75">
      <c r="A54" s="30">
        <v>43</v>
      </c>
      <c r="B54" s="30" t="s">
        <v>161</v>
      </c>
      <c r="C54" s="31" t="s">
        <v>162</v>
      </c>
      <c r="D54" s="8">
        <v>20</v>
      </c>
      <c r="E54" s="12">
        <v>20</v>
      </c>
      <c r="F54" s="8">
        <v>45</v>
      </c>
      <c r="G54" s="81">
        <v>6</v>
      </c>
      <c r="H54" s="8">
        <f t="shared" si="0"/>
        <v>91</v>
      </c>
    </row>
    <row r="55" spans="1:8" ht="18.75">
      <c r="A55" s="30">
        <v>44</v>
      </c>
      <c r="B55" s="30" t="s">
        <v>163</v>
      </c>
      <c r="C55" s="31" t="s">
        <v>164</v>
      </c>
      <c r="D55" s="8">
        <v>20</v>
      </c>
      <c r="E55" s="12">
        <v>20</v>
      </c>
      <c r="F55" s="8">
        <v>40</v>
      </c>
      <c r="G55" s="81">
        <v>6</v>
      </c>
      <c r="H55" s="8">
        <f t="shared" si="0"/>
        <v>86</v>
      </c>
    </row>
    <row r="56" spans="1:8" ht="18.75">
      <c r="A56" s="30">
        <v>45</v>
      </c>
      <c r="B56" s="30" t="s">
        <v>165</v>
      </c>
      <c r="C56" s="31" t="s">
        <v>166</v>
      </c>
      <c r="D56" s="8">
        <v>20</v>
      </c>
      <c r="E56" s="12">
        <v>20</v>
      </c>
      <c r="F56" s="8">
        <v>40</v>
      </c>
      <c r="G56" s="81">
        <v>4</v>
      </c>
      <c r="H56" s="8">
        <f t="shared" si="0"/>
        <v>84</v>
      </c>
    </row>
    <row r="57" spans="1:8" ht="18.75">
      <c r="A57" s="30">
        <v>46</v>
      </c>
      <c r="B57" s="30" t="s">
        <v>167</v>
      </c>
      <c r="C57" s="31" t="s">
        <v>168</v>
      </c>
      <c r="D57" s="8">
        <v>20</v>
      </c>
      <c r="E57" s="12">
        <v>20</v>
      </c>
      <c r="F57" s="8">
        <v>44</v>
      </c>
      <c r="G57" s="81">
        <v>6</v>
      </c>
      <c r="H57" s="8">
        <f t="shared" si="0"/>
        <v>90</v>
      </c>
    </row>
    <row r="58" spans="1:8" ht="18.75">
      <c r="A58" s="30">
        <v>47</v>
      </c>
      <c r="B58" s="30" t="s">
        <v>169</v>
      </c>
      <c r="C58" s="31" t="s">
        <v>170</v>
      </c>
      <c r="D58" s="8">
        <v>20</v>
      </c>
      <c r="E58" s="12">
        <v>20</v>
      </c>
      <c r="F58" s="8">
        <v>42</v>
      </c>
      <c r="G58" s="81">
        <v>2</v>
      </c>
      <c r="H58" s="8">
        <f t="shared" si="0"/>
        <v>84</v>
      </c>
    </row>
    <row r="59" spans="1:8" ht="18.75">
      <c r="A59" s="30">
        <v>48</v>
      </c>
      <c r="B59" s="30" t="s">
        <v>171</v>
      </c>
      <c r="C59" s="31" t="s">
        <v>172</v>
      </c>
      <c r="D59" s="8">
        <v>20</v>
      </c>
      <c r="E59" s="12">
        <v>20</v>
      </c>
      <c r="F59" s="8">
        <v>45</v>
      </c>
      <c r="G59" s="81">
        <v>2</v>
      </c>
      <c r="H59" s="8">
        <f t="shared" si="0"/>
        <v>87</v>
      </c>
    </row>
    <row r="60" spans="1:8" ht="18.75">
      <c r="A60" s="30">
        <v>49</v>
      </c>
      <c r="B60" s="30" t="s">
        <v>173</v>
      </c>
      <c r="C60" s="31" t="s">
        <v>176</v>
      </c>
      <c r="D60" s="8">
        <v>20</v>
      </c>
      <c r="E60" s="12">
        <v>20</v>
      </c>
      <c r="F60" s="8">
        <v>44</v>
      </c>
      <c r="G60" s="81">
        <v>8</v>
      </c>
      <c r="H60" s="8">
        <f t="shared" si="0"/>
        <v>92</v>
      </c>
    </row>
    <row r="61" spans="1:8" ht="18.75">
      <c r="A61" s="30">
        <v>50</v>
      </c>
      <c r="B61" s="30" t="s">
        <v>174</v>
      </c>
      <c r="C61" s="31" t="s">
        <v>175</v>
      </c>
      <c r="D61" s="8">
        <v>20</v>
      </c>
      <c r="E61" s="12">
        <v>20</v>
      </c>
      <c r="F61" s="8">
        <v>48</v>
      </c>
      <c r="G61" s="81">
        <v>4</v>
      </c>
      <c r="H61" s="8">
        <f t="shared" si="0"/>
        <v>92</v>
      </c>
    </row>
    <row r="65" spans="2:8" ht="15.75">
      <c r="B65" s="9" t="s">
        <v>36</v>
      </c>
      <c r="D65" s="9" t="s">
        <v>37</v>
      </c>
      <c r="H65" s="9" t="s">
        <v>38</v>
      </c>
    </row>
    <row r="66" spans="2:8" ht="15.75">
      <c r="B66" s="11" t="s">
        <v>39</v>
      </c>
      <c r="D66" s="11" t="s">
        <v>40</v>
      </c>
      <c r="H66" s="11" t="s">
        <v>41</v>
      </c>
    </row>
  </sheetData>
  <mergeCells count="7">
    <mergeCell ref="A6:H6"/>
    <mergeCell ref="A8:B8"/>
    <mergeCell ref="D8:F8"/>
    <mergeCell ref="G8:H8"/>
    <mergeCell ref="A9:B9"/>
    <mergeCell ref="D9:F9"/>
    <mergeCell ref="G9:H9"/>
  </mergeCells>
  <pageMargins left="0.7" right="0.7" top="0.75" bottom="0.75" header="0.3" footer="0.3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Python</vt:lpstr>
      <vt:lpstr>DBMS</vt:lpstr>
      <vt:lpstr>TA</vt:lpstr>
      <vt:lpstr>FN</vt:lpstr>
      <vt:lpstr>TAM-III</vt:lpstr>
      <vt:lpstr>ENG-III</vt:lpstr>
      <vt:lpstr>Consolidtaed</vt:lpstr>
      <vt:lpstr>Py Lab</vt:lpstr>
      <vt:lpstr>DBMS Lab</vt:lpstr>
      <vt:lpstr>Git</vt:lpstr>
      <vt:lpstr>TIL</vt:lpstr>
      <vt:lpstr>Yoga</vt:lpstr>
      <vt:lpstr>GC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cp:lastPrinted>2025-12-01T13:12:33Z</cp:lastPrinted>
  <dcterms:created xsi:type="dcterms:W3CDTF">2023-02-14T08:25:00Z</dcterms:created>
  <dcterms:modified xsi:type="dcterms:W3CDTF">2025-12-04T06:42:52Z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778BF5D1287D44108B5DF8C6A3EACDDF_12</vt:lpwstr>
  </property>
  <property fmtid="{D5CDD505-2E9C-101B-9397-08002B2CF9AE}" pid="3" name="KSOProductBuildVer">
    <vt:lpwstr>1033-12.2.0.20795</vt:lpwstr>
  </property>
</Properties>
</file>