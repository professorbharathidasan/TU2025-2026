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7755"/>
  </bookViews>
  <sheets>
    <sheet name="R24 BCA" sheetId="1" r:id="rId1"/>
    <sheet name="R22 BCA" sheetId="2" r:id="rId2"/>
    <sheet name="R22 BSC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3" l="1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S12" i="3"/>
  <c r="R12" i="3"/>
  <c r="S11" i="3"/>
  <c r="R11" i="3"/>
  <c r="S10" i="3"/>
  <c r="R10" i="3"/>
  <c r="S9" i="3"/>
  <c r="R9" i="3"/>
  <c r="S8" i="3"/>
  <c r="S13" i="3" s="1"/>
  <c r="Q4" i="3" s="1"/>
  <c r="R8" i="3"/>
  <c r="R13" i="3" s="1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S11" i="2"/>
  <c r="R11" i="2"/>
  <c r="S10" i="2"/>
  <c r="R10" i="2"/>
  <c r="S9" i="2"/>
  <c r="R9" i="2"/>
  <c r="S8" i="2"/>
  <c r="R8" i="2"/>
  <c r="N4" i="3" l="1"/>
  <c r="J4" i="3"/>
  <c r="R13" i="2"/>
  <c r="N4" i="2" s="1"/>
  <c r="S13" i="2"/>
  <c r="Q4" i="2" s="1"/>
  <c r="R8" i="1"/>
  <c r="S8" i="1"/>
  <c r="R9" i="1"/>
  <c r="S9" i="1"/>
  <c r="R10" i="1"/>
  <c r="S10" i="1"/>
  <c r="R11" i="1"/>
  <c r="S11" i="1"/>
  <c r="R12" i="1"/>
  <c r="S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J4" i="2" l="1"/>
  <c r="R13" i="1"/>
  <c r="S13" i="1"/>
  <c r="Q4" i="1" s="1"/>
  <c r="J4" i="1" l="1"/>
  <c r="N4" i="1"/>
</calcChain>
</file>

<file path=xl/sharedStrings.xml><?xml version="1.0" encoding="utf-8"?>
<sst xmlns="http://schemas.openxmlformats.org/spreadsheetml/2006/main" count="132" uniqueCount="29">
  <si>
    <t>B</t>
  </si>
  <si>
    <t>G</t>
  </si>
  <si>
    <t>Boys</t>
  </si>
  <si>
    <t>Girls</t>
  </si>
  <si>
    <t>BC</t>
  </si>
  <si>
    <t>MBC</t>
  </si>
  <si>
    <t>BCM</t>
  </si>
  <si>
    <t>Total</t>
  </si>
  <si>
    <t>ST</t>
  </si>
  <si>
    <t>SCA</t>
  </si>
  <si>
    <t>SC</t>
  </si>
  <si>
    <t>EWS Category</t>
  </si>
  <si>
    <t>General (OC)</t>
  </si>
  <si>
    <t>Student Enrollment Details</t>
  </si>
  <si>
    <t xml:space="preserve">School In charge </t>
  </si>
  <si>
    <t xml:space="preserve">Dean </t>
  </si>
  <si>
    <t>Total Students</t>
  </si>
  <si>
    <t xml:space="preserve">Christian   </t>
  </si>
  <si>
    <t xml:space="preserve">Hindu  </t>
  </si>
  <si>
    <t>Muslim</t>
  </si>
  <si>
    <t xml:space="preserve">Batch Coordinator </t>
  </si>
  <si>
    <t>PwBD (Persons with borderline/benchmark disabilities-certified atleast 40 percent of the disabilities)</t>
  </si>
  <si>
    <t>Others religious  minority communities (Sikh, Buddhist,Parsi,Jain)</t>
  </si>
  <si>
    <t>Faculty : Sciences</t>
  </si>
  <si>
    <t>School : Computer Science</t>
  </si>
  <si>
    <t>Programme : BCA</t>
  </si>
  <si>
    <t>Batch   : 2024-2027</t>
  </si>
  <si>
    <t>Batch   : 2022-2025</t>
  </si>
  <si>
    <t>Programme : B.Sc.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</si>
</sst>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"/>
      <family val="1"/>
    </font>
    <font>
      <b/>
      <sz val="13"/>
      <color theme="1"/>
      <name val="Times"/>
      <family val="1"/>
    </font>
    <font>
      <sz val="13"/>
      <color theme="1"/>
      <name val="Times"/>
      <family val="1"/>
    </font>
    <font>
      <b/>
      <sz val="16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3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0</xdr:rowOff>
    </xdr:from>
    <xdr:to>
      <xdr:col>17</xdr:col>
      <xdr:colOff>114300</xdr:colOff>
      <xdr:row>0</xdr:row>
      <xdr:rowOff>828675</xdr:rowOff>
    </xdr:to>
    <xdr:pic>
      <xdr:nvPicPr>
        <xdr:cNvPr id="2" name="Picture 1" descr="C:\Users\taksh\Downloads\Letter Head,Final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2425" y="0"/>
          <a:ext cx="8772525" cy="8286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0</xdr:rowOff>
    </xdr:from>
    <xdr:to>
      <xdr:col>17</xdr:col>
      <xdr:colOff>114300</xdr:colOff>
      <xdr:row>0</xdr:row>
      <xdr:rowOff>828675</xdr:rowOff>
    </xdr:to>
    <xdr:pic>
      <xdr:nvPicPr>
        <xdr:cNvPr id="2" name="Picture 1" descr="C:\Users\taksh\Downloads\Letter Head,Final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2425" y="0"/>
          <a:ext cx="8772525" cy="8286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0</xdr:rowOff>
    </xdr:from>
    <xdr:to>
      <xdr:col>17</xdr:col>
      <xdr:colOff>114300</xdr:colOff>
      <xdr:row>0</xdr:row>
      <xdr:rowOff>828675</xdr:rowOff>
    </xdr:to>
    <xdr:pic>
      <xdr:nvPicPr>
        <xdr:cNvPr id="2" name="Picture 1" descr="C:\Users\taksh\Downloads\Letter Head,Final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2425" y="0"/>
          <a:ext cx="8772525" cy="8286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abSelected="1" topLeftCell="A5" workbookViewId="0">
      <selection activeCell="O12" sqref="O12"/>
    </sheetView>
  </sheetViews>
  <sheetFormatPr defaultRowHeight="16.5" x14ac:dyDescent="0.25"/>
  <cols>
    <col min="1" max="1" width="28.7109375" style="3" bestFit="1" customWidth="1"/>
    <col min="2" max="2" width="5.42578125" style="3" customWidth="1"/>
    <col min="3" max="11" width="6.42578125" style="3" customWidth="1"/>
    <col min="12" max="12" width="7" style="3" customWidth="1"/>
    <col min="13" max="13" width="7.28515625" style="3" bestFit="1" customWidth="1"/>
    <col min="14" max="14" width="6.42578125" style="3" customWidth="1"/>
    <col min="15" max="15" width="7.7109375" style="3" customWidth="1"/>
    <col min="16" max="16" width="8.28515625" style="3" bestFit="1" customWidth="1"/>
    <col min="17" max="17" width="6.42578125" style="3" customWidth="1"/>
    <col min="18" max="19" width="6.42578125" style="5" customWidth="1"/>
    <col min="20" max="16384" width="9.140625" style="3"/>
  </cols>
  <sheetData>
    <row r="1" spans="1:20" ht="68.25" customHeight="1" x14ac:dyDescent="0.25"/>
    <row r="2" spans="1:20" ht="20.25" x14ac:dyDescent="0.3">
      <c r="A2" s="23" t="s">
        <v>13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20" s="7" customFormat="1" ht="30" customHeight="1" x14ac:dyDescent="0.25">
      <c r="A3" s="27" t="s">
        <v>23</v>
      </c>
      <c r="B3" s="27"/>
      <c r="C3" s="27"/>
      <c r="D3" s="27"/>
      <c r="E3" s="27"/>
      <c r="F3" s="27"/>
      <c r="G3" s="27" t="s">
        <v>24</v>
      </c>
      <c r="H3" s="27"/>
      <c r="I3" s="27"/>
      <c r="J3" s="27"/>
      <c r="K3" s="27"/>
      <c r="L3" s="27"/>
      <c r="M3" s="27"/>
      <c r="N3" s="27" t="s">
        <v>25</v>
      </c>
      <c r="O3" s="27"/>
      <c r="P3" s="27"/>
      <c r="Q3" s="27"/>
      <c r="R3" s="27"/>
      <c r="S3" s="27"/>
    </row>
    <row r="4" spans="1:20" s="1" customFormat="1" ht="24.75" customHeight="1" x14ac:dyDescent="0.25">
      <c r="A4" s="27" t="s">
        <v>26</v>
      </c>
      <c r="B4" s="27"/>
      <c r="C4" s="27"/>
      <c r="D4" s="27"/>
      <c r="E4" s="27"/>
      <c r="F4" s="27"/>
      <c r="G4" s="17" t="s">
        <v>16</v>
      </c>
      <c r="H4" s="18"/>
      <c r="I4" s="19"/>
      <c r="J4" s="26">
        <f>R13+S13</f>
        <v>50</v>
      </c>
      <c r="K4" s="26"/>
      <c r="L4" s="26"/>
      <c r="M4" s="10" t="s">
        <v>2</v>
      </c>
      <c r="N4" s="26">
        <f>R13</f>
        <v>36</v>
      </c>
      <c r="O4" s="26"/>
      <c r="P4" s="10" t="s">
        <v>3</v>
      </c>
      <c r="Q4" s="26">
        <f>S13</f>
        <v>14</v>
      </c>
      <c r="R4" s="26"/>
      <c r="S4" s="26"/>
      <c r="T4" s="7"/>
    </row>
    <row r="5" spans="1:20" x14ac:dyDescent="0.25">
      <c r="A5" s="2"/>
    </row>
    <row r="6" spans="1:20" s="6" customFormat="1" ht="35.25" customHeight="1" x14ac:dyDescent="0.25">
      <c r="A6" s="22"/>
      <c r="B6" s="20" t="s">
        <v>12</v>
      </c>
      <c r="C6" s="20"/>
      <c r="D6" s="20" t="s">
        <v>11</v>
      </c>
      <c r="E6" s="20"/>
      <c r="F6" s="21" t="s">
        <v>10</v>
      </c>
      <c r="G6" s="21"/>
      <c r="H6" s="21" t="s">
        <v>9</v>
      </c>
      <c r="I6" s="21"/>
      <c r="J6" s="21" t="s">
        <v>8</v>
      </c>
      <c r="K6" s="21"/>
      <c r="L6" s="24" t="s">
        <v>4</v>
      </c>
      <c r="M6" s="25"/>
      <c r="N6" s="24" t="s">
        <v>6</v>
      </c>
      <c r="O6" s="25"/>
      <c r="P6" s="24" t="s">
        <v>5</v>
      </c>
      <c r="Q6" s="25"/>
      <c r="R6" s="24" t="s">
        <v>7</v>
      </c>
      <c r="S6" s="25"/>
    </row>
    <row r="7" spans="1:20" s="6" customFormat="1" ht="17.25" customHeight="1" x14ac:dyDescent="0.25">
      <c r="A7" s="22"/>
      <c r="B7" s="9" t="s">
        <v>0</v>
      </c>
      <c r="C7" s="9" t="s">
        <v>1</v>
      </c>
      <c r="D7" s="9" t="s">
        <v>0</v>
      </c>
      <c r="E7" s="9" t="s">
        <v>1</v>
      </c>
      <c r="F7" s="9" t="s">
        <v>0</v>
      </c>
      <c r="G7" s="9" t="s">
        <v>1</v>
      </c>
      <c r="H7" s="9" t="s">
        <v>0</v>
      </c>
      <c r="I7" s="9" t="s">
        <v>1</v>
      </c>
      <c r="J7" s="9" t="s">
        <v>0</v>
      </c>
      <c r="K7" s="9" t="s">
        <v>1</v>
      </c>
      <c r="L7" s="9" t="s">
        <v>0</v>
      </c>
      <c r="M7" s="9" t="s">
        <v>1</v>
      </c>
      <c r="N7" s="9" t="s">
        <v>0</v>
      </c>
      <c r="O7" s="9" t="s">
        <v>1</v>
      </c>
      <c r="P7" s="9" t="s">
        <v>0</v>
      </c>
      <c r="Q7" s="9" t="s">
        <v>1</v>
      </c>
      <c r="R7" s="9" t="s">
        <v>0</v>
      </c>
      <c r="S7" s="9" t="s">
        <v>1</v>
      </c>
    </row>
    <row r="8" spans="1:20" s="2" customFormat="1" ht="39" customHeight="1" x14ac:dyDescent="0.25">
      <c r="A8" s="8" t="s">
        <v>18</v>
      </c>
      <c r="B8" s="10">
        <v>1</v>
      </c>
      <c r="C8" s="10"/>
      <c r="D8" s="10"/>
      <c r="E8" s="10"/>
      <c r="F8" s="10">
        <v>4</v>
      </c>
      <c r="G8" s="10">
        <v>2</v>
      </c>
      <c r="H8" s="10"/>
      <c r="I8" s="10"/>
      <c r="J8" s="10"/>
      <c r="K8" s="10"/>
      <c r="L8" s="10">
        <v>6</v>
      </c>
      <c r="M8" s="10">
        <v>5</v>
      </c>
      <c r="N8" s="10"/>
      <c r="O8" s="10"/>
      <c r="P8" s="10">
        <v>21</v>
      </c>
      <c r="Q8" s="10">
        <v>5</v>
      </c>
      <c r="R8" s="12">
        <f>B8+D8+F8+H8+J8+L8+N8+P8</f>
        <v>32</v>
      </c>
      <c r="S8" s="12">
        <f>C8+E8+G8+I8+K8+M8+O8+Q8</f>
        <v>12</v>
      </c>
    </row>
    <row r="9" spans="1:20" s="2" customFormat="1" ht="39" customHeight="1" x14ac:dyDescent="0.25">
      <c r="A9" s="8" t="s">
        <v>17</v>
      </c>
      <c r="B9" s="10"/>
      <c r="C9" s="10"/>
      <c r="D9" s="10"/>
      <c r="E9" s="10"/>
      <c r="F9" s="10">
        <v>1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2">
        <f t="shared" ref="R9:R12" si="0">B9+D9+F9+H9+J9+L9+N9+P9</f>
        <v>2</v>
      </c>
      <c r="S9" s="12">
        <f t="shared" ref="S9:S12" si="1">C9+E9+G9+I9+K9+M9+O9+Q9</f>
        <v>0</v>
      </c>
    </row>
    <row r="10" spans="1:20" s="2" customFormat="1" ht="39" customHeight="1" x14ac:dyDescent="0.25">
      <c r="A10" s="8" t="s">
        <v>19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>
        <v>2</v>
      </c>
      <c r="O10" s="10">
        <v>2</v>
      </c>
      <c r="P10" s="10"/>
      <c r="Q10" s="10"/>
      <c r="R10" s="12">
        <f t="shared" si="0"/>
        <v>2</v>
      </c>
      <c r="S10" s="12">
        <f t="shared" si="1"/>
        <v>2</v>
      </c>
    </row>
    <row r="11" spans="1:20" s="2" customFormat="1" ht="78.75" customHeight="1" x14ac:dyDescent="0.25">
      <c r="A11" s="8" t="s">
        <v>22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2">
        <f t="shared" si="0"/>
        <v>0</v>
      </c>
      <c r="S11" s="12">
        <f t="shared" si="1"/>
        <v>0</v>
      </c>
    </row>
    <row r="12" spans="1:20" s="2" customFormat="1" ht="93.75" customHeight="1" x14ac:dyDescent="0.25">
      <c r="A12" s="8" t="s">
        <v>21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2">
        <f t="shared" si="0"/>
        <v>0</v>
      </c>
      <c r="S12" s="12">
        <f t="shared" si="1"/>
        <v>0</v>
      </c>
    </row>
    <row r="13" spans="1:20" s="4" customFormat="1" ht="39" customHeight="1" x14ac:dyDescent="0.25">
      <c r="A13" s="11" t="s">
        <v>7</v>
      </c>
      <c r="B13" s="12">
        <f>SUM(B8:B12)</f>
        <v>1</v>
      </c>
      <c r="C13" s="12">
        <f t="shared" ref="C13:S13" si="2">SUM(C8:C12)</f>
        <v>0</v>
      </c>
      <c r="D13" s="12">
        <f t="shared" si="2"/>
        <v>0</v>
      </c>
      <c r="E13" s="12">
        <f t="shared" si="2"/>
        <v>0</v>
      </c>
      <c r="F13" s="12">
        <f t="shared" si="2"/>
        <v>5</v>
      </c>
      <c r="G13" s="12">
        <f t="shared" si="2"/>
        <v>2</v>
      </c>
      <c r="H13" s="12">
        <f t="shared" si="2"/>
        <v>0</v>
      </c>
      <c r="I13" s="12">
        <f t="shared" si="2"/>
        <v>0</v>
      </c>
      <c r="J13" s="12">
        <f t="shared" si="2"/>
        <v>0</v>
      </c>
      <c r="K13" s="12">
        <f t="shared" si="2"/>
        <v>0</v>
      </c>
      <c r="L13" s="12">
        <f t="shared" si="2"/>
        <v>7</v>
      </c>
      <c r="M13" s="12">
        <f t="shared" si="2"/>
        <v>5</v>
      </c>
      <c r="N13" s="12">
        <f t="shared" si="2"/>
        <v>2</v>
      </c>
      <c r="O13" s="12">
        <f t="shared" si="2"/>
        <v>2</v>
      </c>
      <c r="P13" s="12">
        <f t="shared" si="2"/>
        <v>21</v>
      </c>
      <c r="Q13" s="12">
        <f t="shared" si="2"/>
        <v>5</v>
      </c>
      <c r="R13" s="12">
        <f t="shared" si="2"/>
        <v>36</v>
      </c>
      <c r="S13" s="12">
        <f t="shared" si="2"/>
        <v>14</v>
      </c>
    </row>
    <row r="15" spans="1:20" ht="18.75" x14ac:dyDescent="0.3">
      <c r="A15" s="13" t="s">
        <v>20</v>
      </c>
      <c r="B15" s="14"/>
      <c r="C15" s="14"/>
      <c r="D15" s="14"/>
      <c r="E15" s="14"/>
      <c r="F15" s="14"/>
      <c r="G15" s="14"/>
      <c r="H15" s="14" t="s">
        <v>14</v>
      </c>
      <c r="I15" s="14"/>
      <c r="J15" s="14"/>
      <c r="K15" s="14"/>
      <c r="L15" s="14"/>
      <c r="M15" s="14"/>
      <c r="N15" s="14"/>
      <c r="O15" s="14"/>
      <c r="P15" s="14" t="s">
        <v>15</v>
      </c>
    </row>
    <row r="18" spans="1:1" s="14" customFormat="1" ht="18.75" x14ac:dyDescent="0.3">
      <c r="A18" s="13"/>
    </row>
  </sheetData>
  <mergeCells count="19">
    <mergeCell ref="J6:K6"/>
    <mergeCell ref="A6:A7"/>
    <mergeCell ref="A2:Q2"/>
    <mergeCell ref="L6:M6"/>
    <mergeCell ref="N6:O6"/>
    <mergeCell ref="P6:Q6"/>
    <mergeCell ref="Q4:S4"/>
    <mergeCell ref="N4:O4"/>
    <mergeCell ref="N3:S3"/>
    <mergeCell ref="A4:F4"/>
    <mergeCell ref="G3:M3"/>
    <mergeCell ref="A3:F3"/>
    <mergeCell ref="J4:L4"/>
    <mergeCell ref="R6:S6"/>
    <mergeCell ref="G4:I4"/>
    <mergeCell ref="B6:C6"/>
    <mergeCell ref="D6:E6"/>
    <mergeCell ref="F6:G6"/>
    <mergeCell ref="H6:I6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opLeftCell="A3" workbookViewId="0">
      <selection activeCell="P8" sqref="P8"/>
    </sheetView>
  </sheetViews>
  <sheetFormatPr defaultRowHeight="16.5" x14ac:dyDescent="0.25"/>
  <cols>
    <col min="1" max="1" width="28.7109375" style="3" bestFit="1" customWidth="1"/>
    <col min="2" max="2" width="5.42578125" style="3" customWidth="1"/>
    <col min="3" max="11" width="6.42578125" style="3" customWidth="1"/>
    <col min="12" max="12" width="7" style="3" customWidth="1"/>
    <col min="13" max="13" width="7.28515625" style="3" bestFit="1" customWidth="1"/>
    <col min="14" max="14" width="6.42578125" style="3" customWidth="1"/>
    <col min="15" max="15" width="7.7109375" style="3" customWidth="1"/>
    <col min="16" max="16" width="8.28515625" style="3" bestFit="1" customWidth="1"/>
    <col min="17" max="17" width="6.42578125" style="3" customWidth="1"/>
    <col min="18" max="19" width="6.42578125" style="5" customWidth="1"/>
    <col min="20" max="16384" width="9.140625" style="3"/>
  </cols>
  <sheetData>
    <row r="1" spans="1:20" ht="68.25" customHeight="1" x14ac:dyDescent="0.25"/>
    <row r="2" spans="1:20" ht="20.25" x14ac:dyDescent="0.3">
      <c r="A2" s="23" t="s">
        <v>13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20" s="7" customFormat="1" ht="30" customHeight="1" x14ac:dyDescent="0.25">
      <c r="A3" s="27" t="s">
        <v>23</v>
      </c>
      <c r="B3" s="27"/>
      <c r="C3" s="27"/>
      <c r="D3" s="27"/>
      <c r="E3" s="27"/>
      <c r="F3" s="27"/>
      <c r="G3" s="27" t="s">
        <v>24</v>
      </c>
      <c r="H3" s="27"/>
      <c r="I3" s="27"/>
      <c r="J3" s="27"/>
      <c r="K3" s="27"/>
      <c r="L3" s="27"/>
      <c r="M3" s="27"/>
      <c r="N3" s="27" t="s">
        <v>25</v>
      </c>
      <c r="O3" s="27"/>
      <c r="P3" s="27"/>
      <c r="Q3" s="27"/>
      <c r="R3" s="27"/>
      <c r="S3" s="27"/>
    </row>
    <row r="4" spans="1:20" s="1" customFormat="1" ht="24.75" customHeight="1" x14ac:dyDescent="0.25">
      <c r="A4" s="27" t="s">
        <v>27</v>
      </c>
      <c r="B4" s="27"/>
      <c r="C4" s="27"/>
      <c r="D4" s="27"/>
      <c r="E4" s="27"/>
      <c r="F4" s="27"/>
      <c r="G4" s="17" t="s">
        <v>16</v>
      </c>
      <c r="H4" s="18"/>
      <c r="I4" s="19"/>
      <c r="J4" s="26">
        <f>R13+S13</f>
        <v>3</v>
      </c>
      <c r="K4" s="26"/>
      <c r="L4" s="26"/>
      <c r="M4" s="10" t="s">
        <v>2</v>
      </c>
      <c r="N4" s="26">
        <f>R13</f>
        <v>2</v>
      </c>
      <c r="O4" s="26"/>
      <c r="P4" s="10" t="s">
        <v>3</v>
      </c>
      <c r="Q4" s="26">
        <f>S13</f>
        <v>1</v>
      </c>
      <c r="R4" s="26"/>
      <c r="S4" s="26"/>
      <c r="T4" s="7"/>
    </row>
    <row r="5" spans="1:20" x14ac:dyDescent="0.25">
      <c r="A5" s="2"/>
    </row>
    <row r="6" spans="1:20" s="6" customFormat="1" ht="35.25" customHeight="1" x14ac:dyDescent="0.25">
      <c r="A6" s="22"/>
      <c r="B6" s="20" t="s">
        <v>12</v>
      </c>
      <c r="C6" s="20"/>
      <c r="D6" s="20" t="s">
        <v>11</v>
      </c>
      <c r="E6" s="20"/>
      <c r="F6" s="21" t="s">
        <v>10</v>
      </c>
      <c r="G6" s="21"/>
      <c r="H6" s="21" t="s">
        <v>9</v>
      </c>
      <c r="I6" s="21"/>
      <c r="J6" s="21" t="s">
        <v>8</v>
      </c>
      <c r="K6" s="21"/>
      <c r="L6" s="24" t="s">
        <v>4</v>
      </c>
      <c r="M6" s="25"/>
      <c r="N6" s="24" t="s">
        <v>6</v>
      </c>
      <c r="O6" s="25"/>
      <c r="P6" s="24" t="s">
        <v>5</v>
      </c>
      <c r="Q6" s="25"/>
      <c r="R6" s="24" t="s">
        <v>7</v>
      </c>
      <c r="S6" s="25"/>
    </row>
    <row r="7" spans="1:20" s="6" customFormat="1" ht="17.25" customHeight="1" x14ac:dyDescent="0.25">
      <c r="A7" s="22"/>
      <c r="B7" s="16" t="s">
        <v>0</v>
      </c>
      <c r="C7" s="16" t="s">
        <v>1</v>
      </c>
      <c r="D7" s="16" t="s">
        <v>0</v>
      </c>
      <c r="E7" s="16" t="s">
        <v>1</v>
      </c>
      <c r="F7" s="16" t="s">
        <v>0</v>
      </c>
      <c r="G7" s="16" t="s">
        <v>1</v>
      </c>
      <c r="H7" s="16" t="s">
        <v>0</v>
      </c>
      <c r="I7" s="16" t="s">
        <v>1</v>
      </c>
      <c r="J7" s="16" t="s">
        <v>0</v>
      </c>
      <c r="K7" s="16" t="s">
        <v>1</v>
      </c>
      <c r="L7" s="16" t="s">
        <v>0</v>
      </c>
      <c r="M7" s="16" t="s">
        <v>1</v>
      </c>
      <c r="N7" s="16" t="s">
        <v>0</v>
      </c>
      <c r="O7" s="16" t="s">
        <v>1</v>
      </c>
      <c r="P7" s="16" t="s">
        <v>0</v>
      </c>
      <c r="Q7" s="16" t="s">
        <v>1</v>
      </c>
      <c r="R7" s="16" t="s">
        <v>0</v>
      </c>
      <c r="S7" s="16" t="s">
        <v>1</v>
      </c>
    </row>
    <row r="8" spans="1:20" s="2" customFormat="1" ht="39" customHeight="1" x14ac:dyDescent="0.25">
      <c r="A8" s="8" t="s">
        <v>18</v>
      </c>
      <c r="B8" s="10"/>
      <c r="C8" s="10"/>
      <c r="D8" s="10"/>
      <c r="E8" s="10"/>
      <c r="F8" s="10"/>
      <c r="G8" s="10">
        <v>1</v>
      </c>
      <c r="H8" s="10"/>
      <c r="I8" s="10"/>
      <c r="J8" s="10"/>
      <c r="K8" s="10"/>
      <c r="L8" s="10">
        <v>1</v>
      </c>
      <c r="M8" s="10"/>
      <c r="N8" s="10"/>
      <c r="O8" s="10"/>
      <c r="P8" s="10"/>
      <c r="Q8" s="10"/>
      <c r="R8" s="15">
        <f>B8+D8+F8+H8+J8+L8+N8+P8</f>
        <v>1</v>
      </c>
      <c r="S8" s="15">
        <f>C8+E8+G8+I8+K8+M8+O8+Q8</f>
        <v>1</v>
      </c>
    </row>
    <row r="9" spans="1:20" s="2" customFormat="1" ht="39" customHeight="1" x14ac:dyDescent="0.25">
      <c r="A9" s="8" t="s">
        <v>17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5">
        <f t="shared" ref="R9:S12" si="0">B9+D9+F9+H9+J9+L9+N9+P9</f>
        <v>0</v>
      </c>
      <c r="S9" s="15">
        <f t="shared" si="0"/>
        <v>0</v>
      </c>
    </row>
    <row r="10" spans="1:20" s="2" customFormat="1" ht="39" customHeight="1" x14ac:dyDescent="0.25">
      <c r="A10" s="8" t="s">
        <v>19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5">
        <f t="shared" si="0"/>
        <v>1</v>
      </c>
      <c r="S10" s="15">
        <f t="shared" si="0"/>
        <v>0</v>
      </c>
    </row>
    <row r="11" spans="1:20" s="2" customFormat="1" ht="78.75" customHeight="1" x14ac:dyDescent="0.25">
      <c r="A11" s="8" t="s">
        <v>22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5">
        <f t="shared" si="0"/>
        <v>0</v>
      </c>
      <c r="S11" s="15">
        <f t="shared" si="0"/>
        <v>0</v>
      </c>
    </row>
    <row r="12" spans="1:20" s="2" customFormat="1" ht="93.75" customHeight="1" x14ac:dyDescent="0.25">
      <c r="A12" s="8" t="s">
        <v>21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5">
        <f t="shared" si="0"/>
        <v>0</v>
      </c>
      <c r="S12" s="15">
        <f t="shared" si="0"/>
        <v>0</v>
      </c>
    </row>
    <row r="13" spans="1:20" s="4" customFormat="1" ht="39" customHeight="1" x14ac:dyDescent="0.25">
      <c r="A13" s="11" t="s">
        <v>7</v>
      </c>
      <c r="B13" s="15">
        <f>SUM(B8:B12)</f>
        <v>0</v>
      </c>
      <c r="C13" s="15">
        <f t="shared" ref="C13:S13" si="1">SUM(C8:C12)</f>
        <v>0</v>
      </c>
      <c r="D13" s="15">
        <f t="shared" si="1"/>
        <v>0</v>
      </c>
      <c r="E13" s="15">
        <f t="shared" si="1"/>
        <v>0</v>
      </c>
      <c r="F13" s="15">
        <f t="shared" si="1"/>
        <v>0</v>
      </c>
      <c r="G13" s="15">
        <f t="shared" si="1"/>
        <v>1</v>
      </c>
      <c r="H13" s="15">
        <f t="shared" si="1"/>
        <v>0</v>
      </c>
      <c r="I13" s="15">
        <f t="shared" si="1"/>
        <v>0</v>
      </c>
      <c r="J13" s="15">
        <f t="shared" si="1"/>
        <v>0</v>
      </c>
      <c r="K13" s="15">
        <f t="shared" si="1"/>
        <v>0</v>
      </c>
      <c r="L13" s="15">
        <f t="shared" si="1"/>
        <v>1</v>
      </c>
      <c r="M13" s="15">
        <f t="shared" si="1"/>
        <v>0</v>
      </c>
      <c r="N13" s="15">
        <f t="shared" si="1"/>
        <v>1</v>
      </c>
      <c r="O13" s="15">
        <f t="shared" si="1"/>
        <v>0</v>
      </c>
      <c r="P13" s="15">
        <f t="shared" si="1"/>
        <v>0</v>
      </c>
      <c r="Q13" s="15">
        <f t="shared" si="1"/>
        <v>0</v>
      </c>
      <c r="R13" s="15">
        <f t="shared" si="1"/>
        <v>2</v>
      </c>
      <c r="S13" s="15">
        <f t="shared" si="1"/>
        <v>1</v>
      </c>
    </row>
    <row r="15" spans="1:20" ht="18.75" x14ac:dyDescent="0.3">
      <c r="A15" s="13" t="s">
        <v>20</v>
      </c>
      <c r="B15" s="14"/>
      <c r="C15" s="14"/>
      <c r="D15" s="14"/>
      <c r="E15" s="14"/>
      <c r="F15" s="14"/>
      <c r="G15" s="14"/>
      <c r="H15" s="14" t="s">
        <v>14</v>
      </c>
      <c r="I15" s="14"/>
      <c r="J15" s="14"/>
      <c r="K15" s="14"/>
      <c r="L15" s="14"/>
      <c r="M15" s="14"/>
      <c r="N15" s="14"/>
      <c r="O15" s="14"/>
      <c r="P15" s="14" t="s">
        <v>15</v>
      </c>
    </row>
    <row r="18" spans="1:1" s="14" customFormat="1" ht="18.75" x14ac:dyDescent="0.3">
      <c r="A18" s="13"/>
    </row>
  </sheetData>
  <mergeCells count="19">
    <mergeCell ref="L6:M6"/>
    <mergeCell ref="N6:O6"/>
    <mergeCell ref="P6:Q6"/>
    <mergeCell ref="R6:S6"/>
    <mergeCell ref="A6:A7"/>
    <mergeCell ref="B6:C6"/>
    <mergeCell ref="D6:E6"/>
    <mergeCell ref="F6:G6"/>
    <mergeCell ref="H6:I6"/>
    <mergeCell ref="J6:K6"/>
    <mergeCell ref="A2:Q2"/>
    <mergeCell ref="A3:F3"/>
    <mergeCell ref="G3:M3"/>
    <mergeCell ref="N3:S3"/>
    <mergeCell ref="A4:F4"/>
    <mergeCell ref="G4:I4"/>
    <mergeCell ref="J4:L4"/>
    <mergeCell ref="N4:O4"/>
    <mergeCell ref="Q4:S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>
      <selection activeCell="N4" sqref="N4:O4"/>
    </sheetView>
  </sheetViews>
  <sheetFormatPr defaultRowHeight="16.5" x14ac:dyDescent="0.25"/>
  <cols>
    <col min="1" max="1" width="28.7109375" style="3" bestFit="1" customWidth="1"/>
    <col min="2" max="2" width="5.42578125" style="3" customWidth="1"/>
    <col min="3" max="11" width="6.42578125" style="3" customWidth="1"/>
    <col min="12" max="12" width="7" style="3" customWidth="1"/>
    <col min="13" max="13" width="7.28515625" style="3" bestFit="1" customWidth="1"/>
    <col min="14" max="14" width="6.42578125" style="3" customWidth="1"/>
    <col min="15" max="15" width="7.7109375" style="3" customWidth="1"/>
    <col min="16" max="16" width="8.28515625" style="3" bestFit="1" customWidth="1"/>
    <col min="17" max="17" width="6.42578125" style="3" customWidth="1"/>
    <col min="18" max="19" width="6.42578125" style="5" customWidth="1"/>
    <col min="20" max="16384" width="9.140625" style="3"/>
  </cols>
  <sheetData>
    <row r="1" spans="1:20" ht="68.25" customHeight="1" x14ac:dyDescent="0.25"/>
    <row r="2" spans="1:20" ht="20.25" x14ac:dyDescent="0.3">
      <c r="A2" s="23" t="s">
        <v>13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20" s="7" customFormat="1" ht="30" customHeight="1" x14ac:dyDescent="0.25">
      <c r="A3" s="27" t="s">
        <v>23</v>
      </c>
      <c r="B3" s="27"/>
      <c r="C3" s="27"/>
      <c r="D3" s="27"/>
      <c r="E3" s="27"/>
      <c r="F3" s="27"/>
      <c r="G3" s="27" t="s">
        <v>24</v>
      </c>
      <c r="H3" s="27"/>
      <c r="I3" s="27"/>
      <c r="J3" s="27"/>
      <c r="K3" s="27"/>
      <c r="L3" s="27"/>
      <c r="M3" s="27"/>
      <c r="N3" s="27" t="s">
        <v>28</v>
      </c>
      <c r="O3" s="27"/>
      <c r="P3" s="27"/>
      <c r="Q3" s="27"/>
      <c r="R3" s="27"/>
      <c r="S3" s="27"/>
    </row>
    <row r="4" spans="1:20" s="1" customFormat="1" ht="24.75" customHeight="1" x14ac:dyDescent="0.25">
      <c r="A4" s="27" t="s">
        <v>27</v>
      </c>
      <c r="B4" s="27"/>
      <c r="C4" s="27"/>
      <c r="D4" s="27"/>
      <c r="E4" s="27"/>
      <c r="F4" s="27"/>
      <c r="G4" s="17" t="s">
        <v>16</v>
      </c>
      <c r="H4" s="18"/>
      <c r="I4" s="19"/>
      <c r="J4" s="26">
        <f>R13+S13</f>
        <v>7</v>
      </c>
      <c r="K4" s="26"/>
      <c r="L4" s="26"/>
      <c r="M4" s="10" t="s">
        <v>2</v>
      </c>
      <c r="N4" s="26">
        <f>R13</f>
        <v>5</v>
      </c>
      <c r="O4" s="26"/>
      <c r="P4" s="10" t="s">
        <v>3</v>
      </c>
      <c r="Q4" s="26">
        <f>S13</f>
        <v>2</v>
      </c>
      <c r="R4" s="26"/>
      <c r="S4" s="26"/>
      <c r="T4" s="7"/>
    </row>
    <row r="5" spans="1:20" x14ac:dyDescent="0.25">
      <c r="A5" s="2"/>
    </row>
    <row r="6" spans="1:20" s="6" customFormat="1" ht="35.25" customHeight="1" x14ac:dyDescent="0.25">
      <c r="A6" s="22"/>
      <c r="B6" s="20" t="s">
        <v>12</v>
      </c>
      <c r="C6" s="20"/>
      <c r="D6" s="20" t="s">
        <v>11</v>
      </c>
      <c r="E6" s="20"/>
      <c r="F6" s="21" t="s">
        <v>10</v>
      </c>
      <c r="G6" s="21"/>
      <c r="H6" s="21" t="s">
        <v>9</v>
      </c>
      <c r="I6" s="21"/>
      <c r="J6" s="21" t="s">
        <v>8</v>
      </c>
      <c r="K6" s="21"/>
      <c r="L6" s="24" t="s">
        <v>4</v>
      </c>
      <c r="M6" s="25"/>
      <c r="N6" s="24" t="s">
        <v>6</v>
      </c>
      <c r="O6" s="25"/>
      <c r="P6" s="24" t="s">
        <v>5</v>
      </c>
      <c r="Q6" s="25"/>
      <c r="R6" s="24" t="s">
        <v>7</v>
      </c>
      <c r="S6" s="25"/>
    </row>
    <row r="7" spans="1:20" s="6" customFormat="1" ht="17.25" customHeight="1" x14ac:dyDescent="0.25">
      <c r="A7" s="22"/>
      <c r="B7" s="16" t="s">
        <v>0</v>
      </c>
      <c r="C7" s="16" t="s">
        <v>1</v>
      </c>
      <c r="D7" s="16" t="s">
        <v>0</v>
      </c>
      <c r="E7" s="16" t="s">
        <v>1</v>
      </c>
      <c r="F7" s="16" t="s">
        <v>0</v>
      </c>
      <c r="G7" s="16" t="s">
        <v>1</v>
      </c>
      <c r="H7" s="16" t="s">
        <v>0</v>
      </c>
      <c r="I7" s="16" t="s">
        <v>1</v>
      </c>
      <c r="J7" s="16" t="s">
        <v>0</v>
      </c>
      <c r="K7" s="16" t="s">
        <v>1</v>
      </c>
      <c r="L7" s="16" t="s">
        <v>0</v>
      </c>
      <c r="M7" s="16" t="s">
        <v>1</v>
      </c>
      <c r="N7" s="16" t="s">
        <v>0</v>
      </c>
      <c r="O7" s="16" t="s">
        <v>1</v>
      </c>
      <c r="P7" s="16" t="s">
        <v>0</v>
      </c>
      <c r="Q7" s="16" t="s">
        <v>1</v>
      </c>
      <c r="R7" s="16" t="s">
        <v>0</v>
      </c>
      <c r="S7" s="16" t="s">
        <v>1</v>
      </c>
    </row>
    <row r="8" spans="1:20" s="2" customFormat="1" ht="39" customHeight="1" x14ac:dyDescent="0.25">
      <c r="A8" s="8" t="s">
        <v>18</v>
      </c>
      <c r="B8" s="10"/>
      <c r="C8" s="10"/>
      <c r="D8" s="10"/>
      <c r="E8" s="10"/>
      <c r="F8" s="10">
        <v>1</v>
      </c>
      <c r="G8" s="10">
        <v>2</v>
      </c>
      <c r="H8" s="10"/>
      <c r="I8" s="10"/>
      <c r="J8" s="10"/>
      <c r="K8" s="10"/>
      <c r="L8" s="10">
        <v>1</v>
      </c>
      <c r="M8" s="10"/>
      <c r="N8" s="10"/>
      <c r="O8" s="10"/>
      <c r="P8" s="10">
        <v>2</v>
      </c>
      <c r="Q8" s="10"/>
      <c r="R8" s="15">
        <f>B8+D8+F8+H8+J8+L8+N8+P8</f>
        <v>4</v>
      </c>
      <c r="S8" s="15">
        <f>C8+E8+G8+I8+K8+M8+O8+Q8</f>
        <v>2</v>
      </c>
    </row>
    <row r="9" spans="1:20" s="2" customFormat="1" ht="39" customHeight="1" x14ac:dyDescent="0.25">
      <c r="A9" s="8" t="s">
        <v>17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5">
        <f t="shared" ref="R9:S12" si="0">B9+D9+F9+H9+J9+L9+N9+P9</f>
        <v>0</v>
      </c>
      <c r="S9" s="15">
        <f t="shared" si="0"/>
        <v>0</v>
      </c>
    </row>
    <row r="10" spans="1:20" s="2" customFormat="1" ht="39" customHeight="1" x14ac:dyDescent="0.25">
      <c r="A10" s="8" t="s">
        <v>19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5">
        <f t="shared" si="0"/>
        <v>1</v>
      </c>
      <c r="S10" s="15">
        <f t="shared" si="0"/>
        <v>0</v>
      </c>
    </row>
    <row r="11" spans="1:20" s="2" customFormat="1" ht="78.75" customHeight="1" x14ac:dyDescent="0.25">
      <c r="A11" s="8" t="s">
        <v>22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5">
        <f t="shared" si="0"/>
        <v>0</v>
      </c>
      <c r="S11" s="15">
        <f t="shared" si="0"/>
        <v>0</v>
      </c>
    </row>
    <row r="12" spans="1:20" s="2" customFormat="1" ht="93.75" customHeight="1" x14ac:dyDescent="0.25">
      <c r="A12" s="8" t="s">
        <v>21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5">
        <f t="shared" si="0"/>
        <v>0</v>
      </c>
      <c r="S12" s="15">
        <f t="shared" si="0"/>
        <v>0</v>
      </c>
    </row>
    <row r="13" spans="1:20" s="4" customFormat="1" ht="39" customHeight="1" x14ac:dyDescent="0.25">
      <c r="A13" s="11" t="s">
        <v>7</v>
      </c>
      <c r="B13" s="15">
        <f>SUM(B8:B12)</f>
        <v>0</v>
      </c>
      <c r="C13" s="15">
        <f t="shared" ref="C13:S13" si="1">SUM(C8:C12)</f>
        <v>0</v>
      </c>
      <c r="D13" s="15">
        <f t="shared" si="1"/>
        <v>0</v>
      </c>
      <c r="E13" s="15">
        <f t="shared" si="1"/>
        <v>0</v>
      </c>
      <c r="F13" s="15">
        <f t="shared" si="1"/>
        <v>1</v>
      </c>
      <c r="G13" s="15">
        <f t="shared" si="1"/>
        <v>2</v>
      </c>
      <c r="H13" s="15">
        <f t="shared" si="1"/>
        <v>0</v>
      </c>
      <c r="I13" s="15">
        <f t="shared" si="1"/>
        <v>0</v>
      </c>
      <c r="J13" s="15">
        <f t="shared" si="1"/>
        <v>0</v>
      </c>
      <c r="K13" s="15">
        <f t="shared" si="1"/>
        <v>0</v>
      </c>
      <c r="L13" s="15">
        <f t="shared" si="1"/>
        <v>1</v>
      </c>
      <c r="M13" s="15">
        <f t="shared" si="1"/>
        <v>0</v>
      </c>
      <c r="N13" s="15">
        <f t="shared" si="1"/>
        <v>1</v>
      </c>
      <c r="O13" s="15">
        <f t="shared" si="1"/>
        <v>0</v>
      </c>
      <c r="P13" s="15">
        <f t="shared" si="1"/>
        <v>2</v>
      </c>
      <c r="Q13" s="15">
        <f t="shared" si="1"/>
        <v>0</v>
      </c>
      <c r="R13" s="15">
        <f t="shared" si="1"/>
        <v>5</v>
      </c>
      <c r="S13" s="15">
        <f t="shared" si="1"/>
        <v>2</v>
      </c>
    </row>
    <row r="15" spans="1:20" ht="18.75" x14ac:dyDescent="0.3">
      <c r="A15" s="13" t="s">
        <v>20</v>
      </c>
      <c r="B15" s="14"/>
      <c r="C15" s="14"/>
      <c r="D15" s="14"/>
      <c r="E15" s="14"/>
      <c r="F15" s="14"/>
      <c r="G15" s="14"/>
      <c r="H15" s="14" t="s">
        <v>14</v>
      </c>
      <c r="I15" s="14"/>
      <c r="J15" s="14"/>
      <c r="K15" s="14"/>
      <c r="L15" s="14"/>
      <c r="M15" s="14"/>
      <c r="N15" s="14"/>
      <c r="O15" s="14"/>
      <c r="P15" s="14" t="s">
        <v>15</v>
      </c>
    </row>
    <row r="18" spans="1:1" s="14" customFormat="1" ht="18.75" x14ac:dyDescent="0.3">
      <c r="A18" s="13"/>
    </row>
  </sheetData>
  <mergeCells count="19">
    <mergeCell ref="L6:M6"/>
    <mergeCell ref="N6:O6"/>
    <mergeCell ref="P6:Q6"/>
    <mergeCell ref="R6:S6"/>
    <mergeCell ref="A6:A7"/>
    <mergeCell ref="B6:C6"/>
    <mergeCell ref="D6:E6"/>
    <mergeCell ref="F6:G6"/>
    <mergeCell ref="H6:I6"/>
    <mergeCell ref="J6:K6"/>
    <mergeCell ref="A2:Q2"/>
    <mergeCell ref="A3:F3"/>
    <mergeCell ref="G3:M3"/>
    <mergeCell ref="N3:S3"/>
    <mergeCell ref="A4:F4"/>
    <mergeCell ref="G4:I4"/>
    <mergeCell ref="J4:L4"/>
    <mergeCell ref="N4:O4"/>
    <mergeCell ref="Q4:S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R24 BCA</vt:lpstr>
      <vt:lpstr>R22 BCA</vt:lpstr>
      <vt:lpstr>R22 BSC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2025-08-19T10:10:25Z</cp:lastPrinted>
  <dcterms:created xsi:type="dcterms:W3CDTF">2025-08-18T07:31:36Z</dcterms:created>
  <dcterms:modified xsi:type="dcterms:W3CDTF">2025-08-19T10:10:39Z</dcterms:modified>
</cp:coreProperties>
</file>